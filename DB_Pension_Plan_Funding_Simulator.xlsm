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curington/Documents/Finance/Pension Portfolio Statistics/"/>
    </mc:Choice>
  </mc:AlternateContent>
  <xr:revisionPtr revIDLastSave="0" documentId="13_ncr:1_{AA4AA743-EF50-2148-B97B-26FDDFA7D33F}" xr6:coauthVersionLast="47" xr6:coauthVersionMax="47" xr10:uidLastSave="{00000000-0000-0000-0000-000000000000}"/>
  <bookViews>
    <workbookView xWindow="520" yWindow="660" windowWidth="25360" windowHeight="14040" xr2:uid="{00000000-000D-0000-FFFF-FFFF00000000}"/>
  </bookViews>
  <sheets>
    <sheet name="Summary" sheetId="6" r:id="rId1"/>
    <sheet name="95pc FS Monthly VaR CVaR per FR" sheetId="7" r:id="rId2"/>
    <sheet name="PPF 2011 &amp; 2025 Allocations" sheetId="5" r:id="rId3"/>
    <sheet name="Asset Class Returns &amp; Weights" sheetId="1" r:id="rId4"/>
    <sheet name="(Bootstrap Simulation)" sheetId="3" r:id="rId5"/>
  </sheets>
  <definedNames>
    <definedName name="_xlnm._FilterDatabase" localSheetId="3" hidden="1">'Asset Class Returns &amp; Weights'!$A$22:$Z$166</definedName>
    <definedName name="_xlchart.v1.0" hidden="1">'(Bootstrap Simulation)'!$O$2:$O$1001</definedName>
    <definedName name="_xlchart.v1.1" hidden="1">'(Bootstrap Simulation)'!$P$2:$P$1001</definedName>
    <definedName name="_xlchart.v1.10" hidden="1">'95pc FS Monthly VaR CVaR per FR'!$G$3</definedName>
    <definedName name="_xlchart.v1.11" hidden="1">'95pc FS Monthly VaR CVaR per FR'!$G$4:$G$23</definedName>
    <definedName name="_xlchart.v1.12" hidden="1">'95pc FS Monthly VaR CVaR per FR'!$H$3</definedName>
    <definedName name="_xlchart.v1.13" hidden="1">'95pc FS Monthly VaR CVaR per FR'!$H$4:$H$23</definedName>
    <definedName name="_xlchart.v1.8" hidden="1">'95pc FS Monthly VaR CVaR per FR'!$F$3</definedName>
    <definedName name="_xlchart.v1.9" hidden="1">'95pc FS Monthly VaR CVaR per FR'!$F$4:$F$23</definedName>
    <definedName name="_xlchart.v2.2" hidden="1">'95pc FS Monthly VaR CVaR per FR'!$F$3</definedName>
    <definedName name="_xlchart.v2.3" hidden="1">'95pc FS Monthly VaR CVaR per FR'!$F$4:$F$23</definedName>
    <definedName name="_xlchart.v2.4" hidden="1">'95pc FS Monthly VaR CVaR per FR'!$G$3</definedName>
    <definedName name="_xlchart.v2.5" hidden="1">'95pc FS Monthly VaR CVaR per FR'!$G$4:$G$23</definedName>
    <definedName name="_xlchart.v2.6" hidden="1">'95pc FS Monthly VaR CVaR per FR'!$H$3</definedName>
    <definedName name="_xlchart.v2.7" hidden="1">'95pc FS Monthly VaR CVaR per FR'!$H$4:$H$23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6" i="6" l="1"/>
  <c r="F54" i="6"/>
  <c r="F52" i="6"/>
  <c r="H52" i="6"/>
  <c r="H53" i="6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23" i="1"/>
  <c r="H57" i="6"/>
  <c r="H56" i="6"/>
  <c r="H55" i="6"/>
  <c r="H54" i="6"/>
  <c r="F5" i="7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D48" i="5"/>
  <c r="G48" i="5" s="1"/>
  <c r="D47" i="5"/>
  <c r="G47" i="5" s="1"/>
  <c r="C48" i="5"/>
  <c r="F48" i="5" s="1"/>
  <c r="C47" i="5"/>
  <c r="F47" i="5" s="1"/>
  <c r="G16" i="1"/>
  <c r="G15" i="1"/>
  <c r="G14" i="1"/>
  <c r="D17" i="1"/>
  <c r="D16" i="1"/>
  <c r="D15" i="1"/>
  <c r="D14" i="1"/>
  <c r="J35" i="6"/>
  <c r="J11" i="5"/>
  <c r="J25" i="5" s="1"/>
  <c r="J29" i="5"/>
  <c r="J43" i="5" s="1"/>
  <c r="K29" i="5" s="1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C32" i="6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K12" i="5" s="1"/>
  <c r="AE122" i="1"/>
  <c r="AH122" i="1"/>
  <c r="AE123" i="1"/>
  <c r="AH123" i="1"/>
  <c r="AE124" i="1"/>
  <c r="AH124" i="1"/>
  <c r="AE125" i="1"/>
  <c r="AH125" i="1"/>
  <c r="AE126" i="1"/>
  <c r="AH126" i="1"/>
  <c r="AE127" i="1"/>
  <c r="AH127" i="1"/>
  <c r="AE128" i="1"/>
  <c r="AH128" i="1"/>
  <c r="AE129" i="1"/>
  <c r="AH129" i="1"/>
  <c r="AE130" i="1"/>
  <c r="AH130" i="1"/>
  <c r="AE131" i="1"/>
  <c r="AH131" i="1"/>
  <c r="AE132" i="1"/>
  <c r="AH132" i="1"/>
  <c r="AE133" i="1"/>
  <c r="AH133" i="1"/>
  <c r="AE134" i="1"/>
  <c r="AH134" i="1"/>
  <c r="AE135" i="1"/>
  <c r="AH135" i="1"/>
  <c r="AE136" i="1"/>
  <c r="AH136" i="1"/>
  <c r="AE137" i="1"/>
  <c r="AH137" i="1"/>
  <c r="AE138" i="1"/>
  <c r="AH138" i="1"/>
  <c r="AE139" i="1"/>
  <c r="AH139" i="1"/>
  <c r="AE140" i="1"/>
  <c r="AH140" i="1"/>
  <c r="AE141" i="1"/>
  <c r="AH141" i="1"/>
  <c r="AE142" i="1"/>
  <c r="AH142" i="1"/>
  <c r="AE143" i="1"/>
  <c r="AH143" i="1"/>
  <c r="AE144" i="1"/>
  <c r="AH144" i="1"/>
  <c r="AE145" i="1"/>
  <c r="AH145" i="1"/>
  <c r="AE146" i="1"/>
  <c r="AH146" i="1"/>
  <c r="AE147" i="1"/>
  <c r="AH147" i="1"/>
  <c r="AE148" i="1"/>
  <c r="AH148" i="1"/>
  <c r="AE149" i="1"/>
  <c r="AH149" i="1"/>
  <c r="AE150" i="1"/>
  <c r="AH150" i="1"/>
  <c r="AE151" i="1"/>
  <c r="AH151" i="1"/>
  <c r="AE152" i="1"/>
  <c r="AH152" i="1"/>
  <c r="AE153" i="1"/>
  <c r="AH153" i="1"/>
  <c r="AE154" i="1"/>
  <c r="AH154" i="1"/>
  <c r="AE155" i="1"/>
  <c r="AH155" i="1"/>
  <c r="AE156" i="1"/>
  <c r="AH156" i="1"/>
  <c r="AE157" i="1"/>
  <c r="AH157" i="1"/>
  <c r="AE158" i="1"/>
  <c r="AH158" i="1"/>
  <c r="AE159" i="1"/>
  <c r="AH159" i="1"/>
  <c r="AE160" i="1"/>
  <c r="AH160" i="1"/>
  <c r="AE161" i="1"/>
  <c r="AH161" i="1"/>
  <c r="AE162" i="1"/>
  <c r="AH162" i="1"/>
  <c r="AE163" i="1"/>
  <c r="AH163" i="1"/>
  <c r="AE164" i="1"/>
  <c r="AH164" i="1"/>
  <c r="AE165" i="1"/>
  <c r="AH165" i="1"/>
  <c r="AE166" i="1"/>
  <c r="AH166" i="1"/>
  <c r="AE23" i="1"/>
  <c r="AH23" i="1"/>
  <c r="AE24" i="1"/>
  <c r="AH24" i="1"/>
  <c r="AE25" i="1"/>
  <c r="AH25" i="1"/>
  <c r="AE26" i="1"/>
  <c r="AH26" i="1"/>
  <c r="AE27" i="1"/>
  <c r="AH27" i="1"/>
  <c r="AE28" i="1"/>
  <c r="AH28" i="1"/>
  <c r="AE29" i="1"/>
  <c r="AH29" i="1"/>
  <c r="AE30" i="1"/>
  <c r="AH30" i="1"/>
  <c r="AE31" i="1"/>
  <c r="AH31" i="1"/>
  <c r="AE32" i="1"/>
  <c r="AH32" i="1"/>
  <c r="AE33" i="1"/>
  <c r="AH33" i="1"/>
  <c r="AE34" i="1"/>
  <c r="AH34" i="1"/>
  <c r="AE35" i="1"/>
  <c r="AH35" i="1"/>
  <c r="AE36" i="1"/>
  <c r="AH36" i="1"/>
  <c r="AE37" i="1"/>
  <c r="AH37" i="1"/>
  <c r="AE38" i="1"/>
  <c r="AH38" i="1"/>
  <c r="AE39" i="1"/>
  <c r="AH39" i="1"/>
  <c r="AE40" i="1"/>
  <c r="AH40" i="1"/>
  <c r="AE41" i="1"/>
  <c r="AH41" i="1"/>
  <c r="AE42" i="1"/>
  <c r="AH42" i="1"/>
  <c r="AE43" i="1"/>
  <c r="AH43" i="1"/>
  <c r="AE44" i="1"/>
  <c r="AH44" i="1"/>
  <c r="AE45" i="1"/>
  <c r="AH45" i="1"/>
  <c r="AE46" i="1"/>
  <c r="AH46" i="1"/>
  <c r="AE47" i="1"/>
  <c r="AH47" i="1"/>
  <c r="AE48" i="1"/>
  <c r="AH48" i="1"/>
  <c r="AE49" i="1"/>
  <c r="AH49" i="1"/>
  <c r="AE50" i="1"/>
  <c r="AH50" i="1"/>
  <c r="AE51" i="1"/>
  <c r="AH51" i="1"/>
  <c r="AE52" i="1"/>
  <c r="AH52" i="1"/>
  <c r="AE53" i="1"/>
  <c r="AH53" i="1"/>
  <c r="AE54" i="1"/>
  <c r="AH54" i="1"/>
  <c r="AE55" i="1"/>
  <c r="AH55" i="1"/>
  <c r="AE56" i="1"/>
  <c r="AH56" i="1"/>
  <c r="AE57" i="1"/>
  <c r="AH57" i="1"/>
  <c r="AE58" i="1"/>
  <c r="AH58" i="1"/>
  <c r="AE59" i="1"/>
  <c r="AH59" i="1"/>
  <c r="AE60" i="1"/>
  <c r="AH60" i="1"/>
  <c r="AE61" i="1"/>
  <c r="AH61" i="1"/>
  <c r="AE62" i="1"/>
  <c r="AH62" i="1"/>
  <c r="AE63" i="1"/>
  <c r="AH63" i="1"/>
  <c r="AE64" i="1"/>
  <c r="AH64" i="1"/>
  <c r="AE65" i="1"/>
  <c r="AH65" i="1"/>
  <c r="AE66" i="1"/>
  <c r="AH66" i="1"/>
  <c r="AE67" i="1"/>
  <c r="AH67" i="1"/>
  <c r="AE68" i="1"/>
  <c r="AH68" i="1"/>
  <c r="AE69" i="1"/>
  <c r="AH69" i="1"/>
  <c r="AE70" i="1"/>
  <c r="AH70" i="1"/>
  <c r="AE71" i="1"/>
  <c r="AH71" i="1"/>
  <c r="AE72" i="1"/>
  <c r="AH72" i="1"/>
  <c r="AE73" i="1"/>
  <c r="AH73" i="1"/>
  <c r="AE74" i="1"/>
  <c r="AH74" i="1"/>
  <c r="AE75" i="1"/>
  <c r="AH75" i="1"/>
  <c r="AE76" i="1"/>
  <c r="AH76" i="1"/>
  <c r="AE77" i="1"/>
  <c r="AH77" i="1"/>
  <c r="AE78" i="1"/>
  <c r="AH78" i="1"/>
  <c r="AE79" i="1"/>
  <c r="AH79" i="1"/>
  <c r="AE80" i="1"/>
  <c r="AH80" i="1"/>
  <c r="AE81" i="1"/>
  <c r="AH81" i="1"/>
  <c r="AE82" i="1"/>
  <c r="AH82" i="1"/>
  <c r="AE83" i="1"/>
  <c r="AH83" i="1"/>
  <c r="AE84" i="1"/>
  <c r="AH84" i="1"/>
  <c r="AE85" i="1"/>
  <c r="AH85" i="1"/>
  <c r="AE86" i="1"/>
  <c r="AH86" i="1"/>
  <c r="AE87" i="1"/>
  <c r="AH87" i="1"/>
  <c r="AE88" i="1"/>
  <c r="AH88" i="1"/>
  <c r="AE89" i="1"/>
  <c r="AH89" i="1"/>
  <c r="AE90" i="1"/>
  <c r="AH90" i="1"/>
  <c r="AE91" i="1"/>
  <c r="AH91" i="1"/>
  <c r="AE92" i="1"/>
  <c r="AH92" i="1"/>
  <c r="AE93" i="1"/>
  <c r="AH93" i="1"/>
  <c r="AE94" i="1"/>
  <c r="AH94" i="1"/>
  <c r="AE95" i="1"/>
  <c r="AH95" i="1"/>
  <c r="AE96" i="1"/>
  <c r="AH96" i="1"/>
  <c r="AE97" i="1"/>
  <c r="AH97" i="1"/>
  <c r="AE98" i="1"/>
  <c r="AH98" i="1"/>
  <c r="AE99" i="1"/>
  <c r="AH99" i="1"/>
  <c r="AE100" i="1"/>
  <c r="AH100" i="1"/>
  <c r="AE101" i="1"/>
  <c r="AH101" i="1"/>
  <c r="AE102" i="1"/>
  <c r="AH102" i="1"/>
  <c r="AE103" i="1"/>
  <c r="AH103" i="1"/>
  <c r="AE104" i="1"/>
  <c r="AH104" i="1"/>
  <c r="AE105" i="1"/>
  <c r="AH105" i="1"/>
  <c r="AE106" i="1"/>
  <c r="AH106" i="1"/>
  <c r="AE107" i="1"/>
  <c r="AH107" i="1"/>
  <c r="AE108" i="1"/>
  <c r="AH108" i="1"/>
  <c r="AE109" i="1"/>
  <c r="AH109" i="1"/>
  <c r="AE110" i="1"/>
  <c r="AH110" i="1"/>
  <c r="AE111" i="1"/>
  <c r="AH111" i="1"/>
  <c r="AE112" i="1"/>
  <c r="AH112" i="1"/>
  <c r="AE113" i="1"/>
  <c r="AH113" i="1"/>
  <c r="AE114" i="1"/>
  <c r="AH114" i="1"/>
  <c r="AE115" i="1"/>
  <c r="AH115" i="1"/>
  <c r="AE116" i="1"/>
  <c r="AH116" i="1"/>
  <c r="AE117" i="1"/>
  <c r="AH117" i="1"/>
  <c r="AE118" i="1"/>
  <c r="AH118" i="1"/>
  <c r="AE119" i="1"/>
  <c r="AH119" i="1"/>
  <c r="AE120" i="1"/>
  <c r="AH120" i="1"/>
  <c r="AH121" i="1"/>
  <c r="AE121" i="1"/>
  <c r="A86" i="3"/>
  <c r="A74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5" i="3"/>
  <c r="A76" i="3"/>
  <c r="A77" i="3"/>
  <c r="A78" i="3"/>
  <c r="A79" i="3"/>
  <c r="A80" i="3"/>
  <c r="A81" i="3"/>
  <c r="A82" i="3"/>
  <c r="A83" i="3"/>
  <c r="A84" i="3"/>
  <c r="A85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2" i="3"/>
  <c r="J23" i="1"/>
  <c r="W23" i="1"/>
  <c r="U23" i="1"/>
  <c r="R23" i="1"/>
  <c r="J90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24" i="1"/>
  <c r="B18" i="3" a="1"/>
  <c r="B34" i="3" a="1"/>
  <c r="B50" i="3" a="1"/>
  <c r="B66" i="3" a="1"/>
  <c r="B83" i="3" a="1"/>
  <c r="B100" i="3" a="1"/>
  <c r="B116" i="3" a="1"/>
  <c r="B11" i="3" a="1"/>
  <c r="B27" i="3" a="1"/>
  <c r="B43" i="3" a="1"/>
  <c r="B59" i="3" a="1"/>
  <c r="B76" i="3" a="1"/>
  <c r="B93" i="3" a="1"/>
  <c r="B109" i="3" a="1"/>
  <c r="B86" i="3" a="1"/>
  <c r="B16" i="3" a="1"/>
  <c r="B32" i="3" a="1"/>
  <c r="B48" i="3" a="1"/>
  <c r="B64" i="3" a="1"/>
  <c r="B81" i="3" a="1"/>
  <c r="B98" i="3" a="1"/>
  <c r="B114" i="3" a="1"/>
  <c r="B5" i="3" a="1"/>
  <c r="B21" i="3" a="1"/>
  <c r="B37" i="3" a="1"/>
  <c r="B53" i="3" a="1"/>
  <c r="B69" i="3" a="1"/>
  <c r="B87" i="3" a="1"/>
  <c r="B103" i="3" a="1"/>
  <c r="B2" i="3" a="1"/>
  <c r="B6" i="3" a="1"/>
  <c r="B22" i="3" a="1"/>
  <c r="B38" i="3" a="1"/>
  <c r="B54" i="3" a="1"/>
  <c r="B70" i="3" a="1"/>
  <c r="B88" i="3" a="1"/>
  <c r="B104" i="3" a="1"/>
  <c r="B120" i="3" a="1"/>
  <c r="B15" i="3" a="1"/>
  <c r="B31" i="3" a="1"/>
  <c r="B47" i="3" a="1"/>
  <c r="B63" i="3" a="1"/>
  <c r="B80" i="3" a="1"/>
  <c r="B97" i="3" a="1"/>
  <c r="B113" i="3" a="1"/>
  <c r="B4" i="3" a="1"/>
  <c r="B20" i="3" a="1"/>
  <c r="B36" i="3" a="1"/>
  <c r="B52" i="3" a="1"/>
  <c r="B68" i="3" a="1"/>
  <c r="B85" i="3" a="1"/>
  <c r="B102" i="3" a="1"/>
  <c r="B118" i="3" a="1"/>
  <c r="B9" i="3" a="1"/>
  <c r="B25" i="3" a="1"/>
  <c r="B41" i="3" a="1"/>
  <c r="B57" i="3" a="1"/>
  <c r="B73" i="3" a="1"/>
  <c r="B91" i="3" a="1"/>
  <c r="B107" i="3" a="1"/>
  <c r="B10" i="3" a="1"/>
  <c r="B26" i="3" a="1"/>
  <c r="B42" i="3" a="1"/>
  <c r="B58" i="3" a="1"/>
  <c r="B75" i="3" a="1"/>
  <c r="B92" i="3" a="1"/>
  <c r="B108" i="3" a="1"/>
  <c r="B3" i="3" a="1"/>
  <c r="B19" i="3" a="1"/>
  <c r="B35" i="3" a="1"/>
  <c r="B51" i="3" a="1"/>
  <c r="B67" i="3" a="1"/>
  <c r="B84" i="3" a="1"/>
  <c r="B101" i="3" a="1"/>
  <c r="B117" i="3" a="1"/>
  <c r="B8" i="3" a="1"/>
  <c r="B24" i="3" a="1"/>
  <c r="B40" i="3" a="1"/>
  <c r="B56" i="3" a="1"/>
  <c r="B72" i="3" a="1"/>
  <c r="B90" i="3" a="1"/>
  <c r="B106" i="3" a="1"/>
  <c r="B119" i="3" a="1"/>
  <c r="B13" i="3" a="1"/>
  <c r="B29" i="3" a="1"/>
  <c r="B45" i="3" a="1"/>
  <c r="B61" i="3" a="1"/>
  <c r="B78" i="3" a="1"/>
  <c r="B95" i="3" a="1"/>
  <c r="B111" i="3" a="1"/>
  <c r="B14" i="3" a="1"/>
  <c r="B30" i="3" a="1"/>
  <c r="B46" i="3" a="1"/>
  <c r="B62" i="3" a="1"/>
  <c r="B79" i="3" a="1"/>
  <c r="B96" i="3" a="1"/>
  <c r="B112" i="3" a="1"/>
  <c r="B7" i="3" a="1"/>
  <c r="B23" i="3" a="1"/>
  <c r="B39" i="3" a="1"/>
  <c r="B55" i="3" a="1"/>
  <c r="B71" i="3" a="1"/>
  <c r="B89" i="3" a="1"/>
  <c r="B105" i="3" a="1"/>
  <c r="B121" i="3" a="1"/>
  <c r="B12" i="3" a="1"/>
  <c r="B28" i="3" a="1"/>
  <c r="B44" i="3" a="1"/>
  <c r="B60" i="3" a="1"/>
  <c r="B77" i="3" a="1"/>
  <c r="B94" i="3" a="1"/>
  <c r="B110" i="3" a="1"/>
  <c r="B74" i="3" a="1"/>
  <c r="B17" i="3" a="1"/>
  <c r="B33" i="3" a="1"/>
  <c r="B49" i="3" a="1"/>
  <c r="B65" i="3" a="1"/>
  <c r="B82" i="3" a="1"/>
  <c r="B99" i="3" a="1"/>
  <c r="B115" i="3" a="1"/>
  <c r="Z23" i="1" l="1"/>
  <c r="R24" i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W24" i="1"/>
  <c r="W25" i="1" s="1"/>
  <c r="U24" i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U109" i="1" s="1"/>
  <c r="U110" i="1" s="1"/>
  <c r="U111" i="1" s="1"/>
  <c r="U112" i="1" s="1"/>
  <c r="U113" i="1" s="1"/>
  <c r="U114" i="1" s="1"/>
  <c r="U115" i="1" s="1"/>
  <c r="U116" i="1" s="1"/>
  <c r="U117" i="1" s="1"/>
  <c r="U118" i="1" s="1"/>
  <c r="U119" i="1" s="1"/>
  <c r="U120" i="1" s="1"/>
  <c r="U121" i="1" s="1"/>
  <c r="U122" i="1" s="1"/>
  <c r="U123" i="1" s="1"/>
  <c r="U124" i="1" s="1"/>
  <c r="U125" i="1" s="1"/>
  <c r="U126" i="1" s="1"/>
  <c r="U127" i="1" s="1"/>
  <c r="U128" i="1" s="1"/>
  <c r="U129" i="1" s="1"/>
  <c r="U130" i="1" s="1"/>
  <c r="U131" i="1" s="1"/>
  <c r="U132" i="1" s="1"/>
  <c r="U133" i="1" s="1"/>
  <c r="U134" i="1" s="1"/>
  <c r="U135" i="1" s="1"/>
  <c r="U136" i="1" s="1"/>
  <c r="U137" i="1" s="1"/>
  <c r="U138" i="1" s="1"/>
  <c r="U139" i="1" s="1"/>
  <c r="U140" i="1" s="1"/>
  <c r="U141" i="1" s="1"/>
  <c r="U142" i="1" s="1"/>
  <c r="U143" i="1" s="1"/>
  <c r="U144" i="1" s="1"/>
  <c r="U145" i="1" s="1"/>
  <c r="U146" i="1" s="1"/>
  <c r="U147" i="1" s="1"/>
  <c r="U148" i="1" s="1"/>
  <c r="U149" i="1" s="1"/>
  <c r="U150" i="1" s="1"/>
  <c r="U151" i="1" s="1"/>
  <c r="U152" i="1" s="1"/>
  <c r="U153" i="1" s="1"/>
  <c r="U154" i="1" s="1"/>
  <c r="U155" i="1" s="1"/>
  <c r="U156" i="1" s="1"/>
  <c r="U157" i="1" s="1"/>
  <c r="U158" i="1" s="1"/>
  <c r="U159" i="1" s="1"/>
  <c r="U160" i="1" s="1"/>
  <c r="U161" i="1" s="1"/>
  <c r="U162" i="1" s="1"/>
  <c r="U163" i="1" s="1"/>
  <c r="U164" i="1" s="1"/>
  <c r="U165" i="1" s="1"/>
  <c r="U166" i="1" s="1"/>
  <c r="H58" i="6"/>
  <c r="I55" i="6" s="1"/>
  <c r="AF21" i="1" s="1"/>
  <c r="AM21" i="1"/>
  <c r="G17" i="1"/>
  <c r="AK21" i="1"/>
  <c r="J49" i="6"/>
  <c r="K35" i="6" s="1"/>
  <c r="C21" i="1" s="1"/>
  <c r="K11" i="5"/>
  <c r="K31" i="5"/>
  <c r="K32" i="5"/>
  <c r="K36" i="5"/>
  <c r="K37" i="5"/>
  <c r="K41" i="5"/>
  <c r="K39" i="5"/>
  <c r="K18" i="5"/>
  <c r="B115" i="3"/>
  <c r="B111" i="3"/>
  <c r="B107" i="3"/>
  <c r="B103" i="3"/>
  <c r="B99" i="3"/>
  <c r="B95" i="3"/>
  <c r="B91" i="3"/>
  <c r="B87" i="3"/>
  <c r="B82" i="3"/>
  <c r="B78" i="3"/>
  <c r="B73" i="3"/>
  <c r="B69" i="3"/>
  <c r="B65" i="3"/>
  <c r="B61" i="3"/>
  <c r="B57" i="3"/>
  <c r="B53" i="3"/>
  <c r="B49" i="3"/>
  <c r="B45" i="3"/>
  <c r="B41" i="3"/>
  <c r="B37" i="3"/>
  <c r="B33" i="3"/>
  <c r="B29" i="3"/>
  <c r="B25" i="3"/>
  <c r="B21" i="3"/>
  <c r="B17" i="3"/>
  <c r="B13" i="3"/>
  <c r="B9" i="3"/>
  <c r="B5" i="3"/>
  <c r="B74" i="3"/>
  <c r="B119" i="3"/>
  <c r="B118" i="3"/>
  <c r="B114" i="3"/>
  <c r="B110" i="3"/>
  <c r="B106" i="3"/>
  <c r="B102" i="3"/>
  <c r="B98" i="3"/>
  <c r="B94" i="3"/>
  <c r="B90" i="3"/>
  <c r="B85" i="3"/>
  <c r="B81" i="3"/>
  <c r="B77" i="3"/>
  <c r="B72" i="3"/>
  <c r="B68" i="3"/>
  <c r="B64" i="3"/>
  <c r="B60" i="3"/>
  <c r="B56" i="3"/>
  <c r="B52" i="3"/>
  <c r="B48" i="3"/>
  <c r="B44" i="3"/>
  <c r="B40" i="3"/>
  <c r="B36" i="3"/>
  <c r="B32" i="3"/>
  <c r="B28" i="3"/>
  <c r="B24" i="3"/>
  <c r="B20" i="3"/>
  <c r="B16" i="3"/>
  <c r="B12" i="3"/>
  <c r="B8" i="3"/>
  <c r="B4" i="3"/>
  <c r="B86" i="3"/>
  <c r="B121" i="3"/>
  <c r="B117" i="3"/>
  <c r="B113" i="3"/>
  <c r="B109" i="3"/>
  <c r="B105" i="3"/>
  <c r="B101" i="3"/>
  <c r="B97" i="3"/>
  <c r="B93" i="3"/>
  <c r="B89" i="3"/>
  <c r="B84" i="3"/>
  <c r="B80" i="3"/>
  <c r="B76" i="3"/>
  <c r="B71" i="3"/>
  <c r="B67" i="3"/>
  <c r="B63" i="3"/>
  <c r="B59" i="3"/>
  <c r="B55" i="3"/>
  <c r="B51" i="3"/>
  <c r="B47" i="3"/>
  <c r="B43" i="3"/>
  <c r="B39" i="3"/>
  <c r="B35" i="3"/>
  <c r="B31" i="3"/>
  <c r="B27" i="3"/>
  <c r="B23" i="3"/>
  <c r="B19" i="3"/>
  <c r="B15" i="3"/>
  <c r="B11" i="3"/>
  <c r="B7" i="3"/>
  <c r="B3" i="3"/>
  <c r="B120" i="3"/>
  <c r="B116" i="3"/>
  <c r="B112" i="3"/>
  <c r="B108" i="3"/>
  <c r="B104" i="3"/>
  <c r="B100" i="3"/>
  <c r="B96" i="3"/>
  <c r="B92" i="3"/>
  <c r="B88" i="3"/>
  <c r="B83" i="3"/>
  <c r="B79" i="3"/>
  <c r="B75" i="3"/>
  <c r="B70" i="3"/>
  <c r="B66" i="3"/>
  <c r="B62" i="3"/>
  <c r="B58" i="3"/>
  <c r="B54" i="3"/>
  <c r="B50" i="3"/>
  <c r="B46" i="3"/>
  <c r="B42" i="3"/>
  <c r="B38" i="3"/>
  <c r="B34" i="3"/>
  <c r="B30" i="3"/>
  <c r="B26" i="3"/>
  <c r="B22" i="3"/>
  <c r="B18" i="3"/>
  <c r="B14" i="3"/>
  <c r="B10" i="3"/>
  <c r="B6" i="3"/>
  <c r="B2" i="3"/>
  <c r="W26" i="1" l="1"/>
  <c r="Z25" i="1"/>
  <c r="Z24" i="1"/>
  <c r="I53" i="6"/>
  <c r="AD21" i="1" s="1"/>
  <c r="I57" i="6"/>
  <c r="AH21" i="1" s="1"/>
  <c r="I54" i="6"/>
  <c r="AE21" i="1" s="1"/>
  <c r="I52" i="6"/>
  <c r="I56" i="6"/>
  <c r="AG21" i="1" s="1"/>
  <c r="K46" i="6"/>
  <c r="Q21" i="1" s="1"/>
  <c r="K37" i="6"/>
  <c r="F21" i="1" s="1"/>
  <c r="K43" i="6"/>
  <c r="M21" i="1" s="1"/>
  <c r="K39" i="6"/>
  <c r="H21" i="1" s="1"/>
  <c r="K41" i="6"/>
  <c r="K21" i="1" s="1"/>
  <c r="K38" i="6"/>
  <c r="G21" i="1" s="1"/>
  <c r="K40" i="6"/>
  <c r="I21" i="1" s="1"/>
  <c r="K44" i="6"/>
  <c r="O21" i="1" s="1"/>
  <c r="K48" i="6"/>
  <c r="V21" i="1" s="1"/>
  <c r="K47" i="6"/>
  <c r="T21" i="1" s="1"/>
  <c r="K45" i="6"/>
  <c r="P21" i="1" s="1"/>
  <c r="K36" i="6"/>
  <c r="K42" i="6"/>
  <c r="L21" i="1" s="1"/>
  <c r="K30" i="5"/>
  <c r="K33" i="5"/>
  <c r="K34" i="5"/>
  <c r="K38" i="5"/>
  <c r="K42" i="5"/>
  <c r="K40" i="5"/>
  <c r="K35" i="5"/>
  <c r="K19" i="5"/>
  <c r="K24" i="5"/>
  <c r="K20" i="5"/>
  <c r="K16" i="5"/>
  <c r="K15" i="5"/>
  <c r="K14" i="5"/>
  <c r="K13" i="5"/>
  <c r="K25" i="5" s="1"/>
  <c r="K17" i="5"/>
  <c r="K23" i="5"/>
  <c r="K22" i="5"/>
  <c r="K21" i="5"/>
  <c r="AI21" i="1" l="1"/>
  <c r="I58" i="6"/>
  <c r="AC21" i="1"/>
  <c r="W27" i="1"/>
  <c r="Z26" i="1"/>
  <c r="E21" i="1"/>
  <c r="K49" i="6"/>
  <c r="K43" i="5"/>
  <c r="AI24" i="1" l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4" i="1"/>
  <c r="AI108" i="1"/>
  <c r="AI112" i="1"/>
  <c r="AI116" i="1"/>
  <c r="AI120" i="1"/>
  <c r="AI124" i="1"/>
  <c r="AI128" i="1"/>
  <c r="AI132" i="1"/>
  <c r="AI136" i="1"/>
  <c r="AI140" i="1"/>
  <c r="AI144" i="1"/>
  <c r="AI148" i="1"/>
  <c r="AI152" i="1"/>
  <c r="AI156" i="1"/>
  <c r="AI160" i="1"/>
  <c r="AI164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3" i="1"/>
  <c r="AI97" i="1"/>
  <c r="AI101" i="1"/>
  <c r="AI105" i="1"/>
  <c r="AI109" i="1"/>
  <c r="AI113" i="1"/>
  <c r="AI117" i="1"/>
  <c r="AI121" i="1"/>
  <c r="AI125" i="1"/>
  <c r="AI129" i="1"/>
  <c r="AI133" i="1"/>
  <c r="AI137" i="1"/>
  <c r="AI141" i="1"/>
  <c r="AI145" i="1"/>
  <c r="AI149" i="1"/>
  <c r="AI153" i="1"/>
  <c r="AI157" i="1"/>
  <c r="AI161" i="1"/>
  <c r="AI165" i="1"/>
  <c r="AI26" i="1"/>
  <c r="AI30" i="1"/>
  <c r="AI34" i="1"/>
  <c r="AI38" i="1"/>
  <c r="AI42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6" i="1"/>
  <c r="AI110" i="1"/>
  <c r="AI114" i="1"/>
  <c r="AI118" i="1"/>
  <c r="AI122" i="1"/>
  <c r="AI126" i="1"/>
  <c r="AI130" i="1"/>
  <c r="AI134" i="1"/>
  <c r="AI138" i="1"/>
  <c r="AI142" i="1"/>
  <c r="AI146" i="1"/>
  <c r="AI150" i="1"/>
  <c r="AI154" i="1"/>
  <c r="AI158" i="1"/>
  <c r="AI162" i="1"/>
  <c r="AI166" i="1"/>
  <c r="AI27" i="1"/>
  <c r="AI31" i="1"/>
  <c r="AI35" i="1"/>
  <c r="AI39" i="1"/>
  <c r="AI43" i="1"/>
  <c r="AI47" i="1"/>
  <c r="AI51" i="1"/>
  <c r="AI55" i="1"/>
  <c r="AI59" i="1"/>
  <c r="AI63" i="1"/>
  <c r="AI67" i="1"/>
  <c r="AI71" i="1"/>
  <c r="AI75" i="1"/>
  <c r="AI79" i="1"/>
  <c r="AI83" i="1"/>
  <c r="AI87" i="1"/>
  <c r="AI91" i="1"/>
  <c r="AI95" i="1"/>
  <c r="AI99" i="1"/>
  <c r="AI103" i="1"/>
  <c r="AI107" i="1"/>
  <c r="AI111" i="1"/>
  <c r="AI115" i="1"/>
  <c r="AI119" i="1"/>
  <c r="AI123" i="1"/>
  <c r="AI127" i="1"/>
  <c r="AI131" i="1"/>
  <c r="AI135" i="1"/>
  <c r="AI139" i="1"/>
  <c r="AI143" i="1"/>
  <c r="AI147" i="1"/>
  <c r="AI151" i="1"/>
  <c r="AI155" i="1"/>
  <c r="AI159" i="1"/>
  <c r="AI163" i="1"/>
  <c r="AI23" i="1"/>
  <c r="W28" i="1"/>
  <c r="Z27" i="1"/>
  <c r="AA27" i="1" s="1"/>
  <c r="AA21" i="1"/>
  <c r="AA26" i="1"/>
  <c r="AA24" i="1"/>
  <c r="AA25" i="1"/>
  <c r="AA23" i="1"/>
  <c r="G52" i="3" a="1"/>
  <c r="G45" i="3" a="1"/>
  <c r="G41" i="3" a="1"/>
  <c r="G31" i="3" a="1"/>
  <c r="G65" i="3" a="1"/>
  <c r="G9" i="3" a="1"/>
  <c r="G98" i="3" a="1"/>
  <c r="G84" i="3" a="1"/>
  <c r="G24" i="3" a="1"/>
  <c r="G11" i="3" a="1"/>
  <c r="G37" i="3" a="1"/>
  <c r="G15" i="3" a="1"/>
  <c r="G62" i="3" a="1"/>
  <c r="G89" i="3" a="1"/>
  <c r="G90" i="3" a="1"/>
  <c r="G73" i="3" a="1"/>
  <c r="G12" i="3" a="1"/>
  <c r="G68" i="3" a="1"/>
  <c r="G38" i="3" a="1"/>
  <c r="G36" i="3" a="1"/>
  <c r="G47" i="3" a="1"/>
  <c r="G33" i="3" a="1"/>
  <c r="G60" i="3" a="1"/>
  <c r="G107" i="3" a="1"/>
  <c r="G2" i="3" a="1"/>
  <c r="G42" i="3" a="1"/>
  <c r="G95" i="3" a="1"/>
  <c r="G121" i="3" a="1"/>
  <c r="G120" i="3" a="1"/>
  <c r="G27" i="3" a="1"/>
  <c r="G51" i="3" a="1"/>
  <c r="G19" i="3" a="1"/>
  <c r="G49" i="3" a="1"/>
  <c r="G67" i="3" a="1"/>
  <c r="G97" i="3" a="1"/>
  <c r="G118" i="3" a="1"/>
  <c r="G59" i="3" a="1"/>
  <c r="G83" i="3" a="1"/>
  <c r="G16" i="3" a="1"/>
  <c r="G10" i="3" a="1"/>
  <c r="G115" i="3" a="1"/>
  <c r="G116" i="3" a="1"/>
  <c r="G112" i="3" a="1"/>
  <c r="G70" i="3" a="1"/>
  <c r="G5" i="3" a="1"/>
  <c r="G86" i="3" a="1"/>
  <c r="G3" i="3" a="1"/>
  <c r="G101" i="3" a="1"/>
  <c r="G55" i="3" a="1"/>
  <c r="G102" i="3" a="1"/>
  <c r="G40" i="3" a="1"/>
  <c r="G18" i="3" a="1"/>
  <c r="G79" i="3" a="1"/>
  <c r="G71" i="3" a="1"/>
  <c r="G78" i="3" a="1"/>
  <c r="G61" i="3" a="1"/>
  <c r="G76" i="3" a="1"/>
  <c r="G96" i="3" a="1"/>
  <c r="G21" i="3" a="1"/>
  <c r="G35" i="3" a="1"/>
  <c r="G13" i="3" a="1"/>
  <c r="G119" i="3" a="1"/>
  <c r="G20" i="3" a="1"/>
  <c r="G82" i="3" a="1"/>
  <c r="G75" i="3" a="1"/>
  <c r="G28" i="3" a="1"/>
  <c r="G100" i="3" a="1"/>
  <c r="G4" i="3" a="1"/>
  <c r="G25" i="3" a="1"/>
  <c r="G32" i="3" a="1"/>
  <c r="G17" i="3" a="1"/>
  <c r="G50" i="3" a="1"/>
  <c r="G74" i="3" a="1"/>
  <c r="G99" i="3" a="1"/>
  <c r="G69" i="3" a="1"/>
  <c r="G14" i="3" a="1"/>
  <c r="G80" i="3" a="1"/>
  <c r="G87" i="3" a="1"/>
  <c r="G30" i="3" a="1"/>
  <c r="G103" i="3" a="1"/>
  <c r="G8" i="3" a="1"/>
  <c r="G23" i="3" a="1"/>
  <c r="G43" i="3" a="1"/>
  <c r="G6" i="3" a="1"/>
  <c r="G85" i="3" a="1"/>
  <c r="G113" i="3" a="1"/>
  <c r="G54" i="3" a="1"/>
  <c r="G111" i="3" a="1"/>
  <c r="G48" i="3" a="1"/>
  <c r="G117" i="3" a="1"/>
  <c r="G29" i="3" a="1"/>
  <c r="G7" i="3" a="1"/>
  <c r="G58" i="3" a="1"/>
  <c r="G26" i="3" a="1"/>
  <c r="G56" i="3" a="1"/>
  <c r="G81" i="3" a="1"/>
  <c r="G72" i="3" a="1"/>
  <c r="G39" i="3" a="1"/>
  <c r="G44" i="3" a="1"/>
  <c r="G64" i="3" a="1"/>
  <c r="G93" i="3" a="1"/>
  <c r="G77" i="3" a="1"/>
  <c r="G57" i="3" a="1"/>
  <c r="G104" i="3" a="1"/>
  <c r="G91" i="3" a="1"/>
  <c r="G106" i="3" a="1"/>
  <c r="G94" i="3" a="1"/>
  <c r="G108" i="3" a="1"/>
  <c r="G63" i="3" a="1"/>
  <c r="G22" i="3" a="1"/>
  <c r="G92" i="3" a="1"/>
  <c r="G110" i="3" a="1"/>
  <c r="G34" i="3" a="1"/>
  <c r="G66" i="3" a="1"/>
  <c r="G109" i="3" a="1"/>
  <c r="G88" i="3" a="1"/>
  <c r="G53" i="3" a="1"/>
  <c r="G105" i="3" a="1"/>
  <c r="G46" i="3" a="1"/>
  <c r="G114" i="3" a="1"/>
  <c r="G114" i="3" l="1"/>
  <c r="H114" i="3" s="1"/>
  <c r="G46" i="3"/>
  <c r="H46" i="3" s="1"/>
  <c r="G105" i="3"/>
  <c r="H105" i="3" s="1"/>
  <c r="G53" i="3"/>
  <c r="H53" i="3" s="1"/>
  <c r="G88" i="3"/>
  <c r="H88" i="3" s="1"/>
  <c r="G109" i="3"/>
  <c r="H109" i="3" s="1"/>
  <c r="G66" i="3"/>
  <c r="H66" i="3" s="1"/>
  <c r="G34" i="3"/>
  <c r="H34" i="3" s="1"/>
  <c r="G110" i="3"/>
  <c r="H110" i="3" s="1"/>
  <c r="G92" i="3"/>
  <c r="H92" i="3" s="1"/>
  <c r="G22" i="3"/>
  <c r="H22" i="3" s="1"/>
  <c r="G63" i="3"/>
  <c r="H63" i="3" s="1"/>
  <c r="G108" i="3"/>
  <c r="H108" i="3" s="1"/>
  <c r="G94" i="3"/>
  <c r="H94" i="3" s="1"/>
  <c r="G106" i="3"/>
  <c r="H106" i="3" s="1"/>
  <c r="G91" i="3"/>
  <c r="H91" i="3" s="1"/>
  <c r="G104" i="3"/>
  <c r="H104" i="3" s="1"/>
  <c r="G57" i="3"/>
  <c r="H57" i="3" s="1"/>
  <c r="G77" i="3"/>
  <c r="H77" i="3" s="1"/>
  <c r="G93" i="3"/>
  <c r="H93" i="3" s="1"/>
  <c r="G64" i="3"/>
  <c r="H64" i="3" s="1"/>
  <c r="G44" i="3"/>
  <c r="H44" i="3" s="1"/>
  <c r="G39" i="3"/>
  <c r="H39" i="3" s="1"/>
  <c r="G72" i="3"/>
  <c r="H72" i="3" s="1"/>
  <c r="G81" i="3"/>
  <c r="H81" i="3" s="1"/>
  <c r="G56" i="3"/>
  <c r="H56" i="3" s="1"/>
  <c r="G26" i="3"/>
  <c r="H26" i="3" s="1"/>
  <c r="G58" i="3"/>
  <c r="H58" i="3" s="1"/>
  <c r="G7" i="3"/>
  <c r="H7" i="3" s="1"/>
  <c r="G29" i="3"/>
  <c r="H29" i="3" s="1"/>
  <c r="G117" i="3"/>
  <c r="H117" i="3" s="1"/>
  <c r="G48" i="3"/>
  <c r="H48" i="3" s="1"/>
  <c r="G111" i="3"/>
  <c r="H111" i="3" s="1"/>
  <c r="G54" i="3"/>
  <c r="H54" i="3" s="1"/>
  <c r="G113" i="3"/>
  <c r="H113" i="3" s="1"/>
  <c r="G85" i="3"/>
  <c r="H85" i="3" s="1"/>
  <c r="G6" i="3"/>
  <c r="H6" i="3" s="1"/>
  <c r="G43" i="3"/>
  <c r="H43" i="3" s="1"/>
  <c r="G23" i="3"/>
  <c r="H23" i="3" s="1"/>
  <c r="G8" i="3"/>
  <c r="H8" i="3" s="1"/>
  <c r="G103" i="3"/>
  <c r="H103" i="3" s="1"/>
  <c r="G30" i="3"/>
  <c r="H30" i="3" s="1"/>
  <c r="G87" i="3"/>
  <c r="H87" i="3" s="1"/>
  <c r="G80" i="3"/>
  <c r="H80" i="3" s="1"/>
  <c r="G14" i="3"/>
  <c r="H14" i="3" s="1"/>
  <c r="G69" i="3"/>
  <c r="H69" i="3" s="1"/>
  <c r="G99" i="3"/>
  <c r="H99" i="3" s="1"/>
  <c r="G74" i="3"/>
  <c r="H74" i="3" s="1"/>
  <c r="G50" i="3"/>
  <c r="H50" i="3" s="1"/>
  <c r="G17" i="3"/>
  <c r="H17" i="3" s="1"/>
  <c r="G32" i="3"/>
  <c r="H32" i="3" s="1"/>
  <c r="G25" i="3"/>
  <c r="H25" i="3" s="1"/>
  <c r="G4" i="3"/>
  <c r="H4" i="3" s="1"/>
  <c r="G100" i="3"/>
  <c r="H100" i="3" s="1"/>
  <c r="G28" i="3"/>
  <c r="H28" i="3" s="1"/>
  <c r="G75" i="3"/>
  <c r="H75" i="3" s="1"/>
  <c r="G82" i="3"/>
  <c r="H82" i="3" s="1"/>
  <c r="G20" i="3"/>
  <c r="H20" i="3" s="1"/>
  <c r="G119" i="3"/>
  <c r="H119" i="3" s="1"/>
  <c r="G13" i="3"/>
  <c r="H13" i="3" s="1"/>
  <c r="G35" i="3"/>
  <c r="H35" i="3" s="1"/>
  <c r="G21" i="3"/>
  <c r="H21" i="3" s="1"/>
  <c r="G96" i="3"/>
  <c r="H96" i="3" s="1"/>
  <c r="G76" i="3"/>
  <c r="H76" i="3" s="1"/>
  <c r="G61" i="3"/>
  <c r="H61" i="3" s="1"/>
  <c r="G78" i="3"/>
  <c r="H78" i="3" s="1"/>
  <c r="G71" i="3"/>
  <c r="H71" i="3" s="1"/>
  <c r="G79" i="3"/>
  <c r="H79" i="3" s="1"/>
  <c r="G18" i="3"/>
  <c r="H18" i="3" s="1"/>
  <c r="G40" i="3"/>
  <c r="H40" i="3" s="1"/>
  <c r="G102" i="3"/>
  <c r="H102" i="3" s="1"/>
  <c r="G55" i="3"/>
  <c r="H55" i="3" s="1"/>
  <c r="G101" i="3"/>
  <c r="H101" i="3" s="1"/>
  <c r="G3" i="3"/>
  <c r="H3" i="3" s="1"/>
  <c r="G86" i="3"/>
  <c r="H86" i="3" s="1"/>
  <c r="G5" i="3"/>
  <c r="H5" i="3" s="1"/>
  <c r="G70" i="3"/>
  <c r="H70" i="3" s="1"/>
  <c r="G112" i="3"/>
  <c r="H112" i="3" s="1"/>
  <c r="G116" i="3"/>
  <c r="H116" i="3" s="1"/>
  <c r="G115" i="3"/>
  <c r="H115" i="3" s="1"/>
  <c r="G10" i="3"/>
  <c r="H10" i="3" s="1"/>
  <c r="G16" i="3"/>
  <c r="H16" i="3" s="1"/>
  <c r="G83" i="3"/>
  <c r="H83" i="3" s="1"/>
  <c r="G59" i="3"/>
  <c r="H59" i="3" s="1"/>
  <c r="G118" i="3"/>
  <c r="H118" i="3" s="1"/>
  <c r="G97" i="3"/>
  <c r="H97" i="3" s="1"/>
  <c r="G67" i="3"/>
  <c r="H67" i="3" s="1"/>
  <c r="G49" i="3"/>
  <c r="H49" i="3" s="1"/>
  <c r="G19" i="3"/>
  <c r="H19" i="3" s="1"/>
  <c r="G51" i="3"/>
  <c r="H51" i="3" s="1"/>
  <c r="G27" i="3"/>
  <c r="H27" i="3" s="1"/>
  <c r="G120" i="3"/>
  <c r="H120" i="3" s="1"/>
  <c r="G121" i="3"/>
  <c r="H121" i="3" s="1"/>
  <c r="G95" i="3"/>
  <c r="H95" i="3" s="1"/>
  <c r="G42" i="3"/>
  <c r="H42" i="3" s="1"/>
  <c r="G2" i="3"/>
  <c r="H2" i="3" s="1"/>
  <c r="I2" i="3" s="1"/>
  <c r="G107" i="3"/>
  <c r="H107" i="3" s="1"/>
  <c r="G60" i="3"/>
  <c r="H60" i="3" s="1"/>
  <c r="G33" i="3"/>
  <c r="H33" i="3" s="1"/>
  <c r="G47" i="3"/>
  <c r="H47" i="3" s="1"/>
  <c r="G36" i="3"/>
  <c r="H36" i="3" s="1"/>
  <c r="G38" i="3"/>
  <c r="H38" i="3" s="1"/>
  <c r="G68" i="3"/>
  <c r="H68" i="3" s="1"/>
  <c r="G12" i="3"/>
  <c r="H12" i="3" s="1"/>
  <c r="G73" i="3"/>
  <c r="H73" i="3" s="1"/>
  <c r="G90" i="3"/>
  <c r="H90" i="3" s="1"/>
  <c r="G89" i="3"/>
  <c r="H89" i="3" s="1"/>
  <c r="G62" i="3"/>
  <c r="H62" i="3" s="1"/>
  <c r="G15" i="3"/>
  <c r="H15" i="3" s="1"/>
  <c r="G37" i="3"/>
  <c r="H37" i="3" s="1"/>
  <c r="G11" i="3"/>
  <c r="H11" i="3" s="1"/>
  <c r="G24" i="3"/>
  <c r="H24" i="3" s="1"/>
  <c r="G84" i="3"/>
  <c r="H84" i="3" s="1"/>
  <c r="G98" i="3"/>
  <c r="H98" i="3" s="1"/>
  <c r="G9" i="3"/>
  <c r="H9" i="3" s="1"/>
  <c r="G65" i="3"/>
  <c r="H65" i="3" s="1"/>
  <c r="G31" i="3"/>
  <c r="H31" i="3" s="1"/>
  <c r="G41" i="3"/>
  <c r="H41" i="3" s="1"/>
  <c r="G45" i="3"/>
  <c r="H45" i="3" s="1"/>
  <c r="G52" i="3"/>
  <c r="H52" i="3" s="1"/>
  <c r="W29" i="1"/>
  <c r="Z28" i="1"/>
  <c r="AA28" i="1" s="1"/>
  <c r="AM28" i="1" s="1"/>
  <c r="AK23" i="1"/>
  <c r="AM23" i="1"/>
  <c r="AK25" i="1"/>
  <c r="AM25" i="1"/>
  <c r="AK24" i="1"/>
  <c r="AM24" i="1"/>
  <c r="AK26" i="1"/>
  <c r="AM26" i="1"/>
  <c r="AK27" i="1"/>
  <c r="AM27" i="1"/>
  <c r="J2" i="3" l="1"/>
  <c r="I3" i="3"/>
  <c r="AK28" i="1"/>
  <c r="W30" i="1"/>
  <c r="Z29" i="1"/>
  <c r="AA29" i="1" s="1"/>
  <c r="J3" i="3" l="1"/>
  <c r="I4" i="3"/>
  <c r="AK29" i="1"/>
  <c r="AM29" i="1"/>
  <c r="W31" i="1"/>
  <c r="Z30" i="1"/>
  <c r="AA30" i="1" s="1"/>
  <c r="J4" i="3" l="1"/>
  <c r="I5" i="3"/>
  <c r="AK30" i="1"/>
  <c r="AM30" i="1"/>
  <c r="W32" i="1"/>
  <c r="Z31" i="1"/>
  <c r="AA31" i="1" s="1"/>
  <c r="J5" i="3" l="1"/>
  <c r="I6" i="3"/>
  <c r="AM31" i="1"/>
  <c r="AK31" i="1"/>
  <c r="W33" i="1"/>
  <c r="Z32" i="1"/>
  <c r="AA32" i="1" s="1"/>
  <c r="J6" i="3" l="1"/>
  <c r="I7" i="3"/>
  <c r="AM32" i="1"/>
  <c r="AK32" i="1"/>
  <c r="W34" i="1"/>
  <c r="Z33" i="1"/>
  <c r="AA33" i="1" s="1"/>
  <c r="J7" i="3" l="1"/>
  <c r="I8" i="3"/>
  <c r="AM33" i="1"/>
  <c r="AK33" i="1"/>
  <c r="W35" i="1"/>
  <c r="Z34" i="1"/>
  <c r="AA34" i="1" s="1"/>
  <c r="J8" i="3" l="1"/>
  <c r="I9" i="3"/>
  <c r="AM34" i="1"/>
  <c r="AK34" i="1"/>
  <c r="W36" i="1"/>
  <c r="Z35" i="1"/>
  <c r="AA35" i="1" s="1"/>
  <c r="J9" i="3" l="1"/>
  <c r="I10" i="3"/>
  <c r="AK35" i="1"/>
  <c r="AM35" i="1"/>
  <c r="W37" i="1"/>
  <c r="Z36" i="1"/>
  <c r="AA36" i="1" s="1"/>
  <c r="J10" i="3" l="1"/>
  <c r="I11" i="3"/>
  <c r="W38" i="1"/>
  <c r="Z37" i="1"/>
  <c r="AA37" i="1" s="1"/>
  <c r="AM36" i="1"/>
  <c r="AK36" i="1"/>
  <c r="J11" i="3" l="1"/>
  <c r="I12" i="3"/>
  <c r="AM37" i="1"/>
  <c r="AK37" i="1"/>
  <c r="W39" i="1"/>
  <c r="Z38" i="1"/>
  <c r="AA38" i="1" s="1"/>
  <c r="J12" i="3" l="1"/>
  <c r="I13" i="3"/>
  <c r="AK38" i="1"/>
  <c r="AM38" i="1"/>
  <c r="W40" i="1"/>
  <c r="Z39" i="1"/>
  <c r="AA39" i="1" s="1"/>
  <c r="J13" i="3" l="1"/>
  <c r="I14" i="3"/>
  <c r="W41" i="1"/>
  <c r="Z40" i="1"/>
  <c r="AA40" i="1" s="1"/>
  <c r="AM39" i="1"/>
  <c r="AK39" i="1"/>
  <c r="J14" i="3" l="1"/>
  <c r="I15" i="3"/>
  <c r="AK40" i="1"/>
  <c r="AM40" i="1"/>
  <c r="W42" i="1"/>
  <c r="Z41" i="1"/>
  <c r="AA41" i="1" s="1"/>
  <c r="J15" i="3" l="1"/>
  <c r="I16" i="3"/>
  <c r="AM41" i="1"/>
  <c r="AK41" i="1"/>
  <c r="W43" i="1"/>
  <c r="Z42" i="1"/>
  <c r="AA42" i="1" s="1"/>
  <c r="J16" i="3" l="1"/>
  <c r="I17" i="3"/>
  <c r="W44" i="1"/>
  <c r="Z43" i="1"/>
  <c r="AA43" i="1" s="1"/>
  <c r="AM42" i="1"/>
  <c r="AK42" i="1"/>
  <c r="J17" i="3" l="1"/>
  <c r="I18" i="3"/>
  <c r="AK43" i="1"/>
  <c r="AM43" i="1"/>
  <c r="W45" i="1"/>
  <c r="Z44" i="1"/>
  <c r="AA44" i="1" s="1"/>
  <c r="J18" i="3" l="1"/>
  <c r="I19" i="3"/>
  <c r="AK44" i="1"/>
  <c r="AM44" i="1"/>
  <c r="W46" i="1"/>
  <c r="Z45" i="1"/>
  <c r="AA45" i="1" s="1"/>
  <c r="J19" i="3" l="1"/>
  <c r="I20" i="3"/>
  <c r="W47" i="1"/>
  <c r="Z46" i="1"/>
  <c r="AA46" i="1" s="1"/>
  <c r="AM45" i="1"/>
  <c r="AK45" i="1"/>
  <c r="J20" i="3" l="1"/>
  <c r="I21" i="3"/>
  <c r="AK46" i="1"/>
  <c r="AM46" i="1"/>
  <c r="W48" i="1"/>
  <c r="Z47" i="1"/>
  <c r="AA47" i="1" s="1"/>
  <c r="J21" i="3" l="1"/>
  <c r="I22" i="3"/>
  <c r="AK47" i="1"/>
  <c r="AM47" i="1"/>
  <c r="W49" i="1"/>
  <c r="Z48" i="1"/>
  <c r="AA48" i="1" s="1"/>
  <c r="J22" i="3" l="1"/>
  <c r="I23" i="3"/>
  <c r="AM48" i="1"/>
  <c r="AK48" i="1"/>
  <c r="W50" i="1"/>
  <c r="Z49" i="1"/>
  <c r="AA49" i="1" s="1"/>
  <c r="J23" i="3" l="1"/>
  <c r="I24" i="3"/>
  <c r="AM49" i="1"/>
  <c r="AK49" i="1"/>
  <c r="W51" i="1"/>
  <c r="Z50" i="1"/>
  <c r="AA50" i="1" s="1"/>
  <c r="J24" i="3" l="1"/>
  <c r="I25" i="3"/>
  <c r="AK50" i="1"/>
  <c r="AM50" i="1"/>
  <c r="W52" i="1"/>
  <c r="Z51" i="1"/>
  <c r="AA51" i="1" s="1"/>
  <c r="J25" i="3" l="1"/>
  <c r="I26" i="3"/>
  <c r="AK51" i="1"/>
  <c r="AM51" i="1"/>
  <c r="W53" i="1"/>
  <c r="Z52" i="1"/>
  <c r="AA52" i="1" s="1"/>
  <c r="J26" i="3" l="1"/>
  <c r="I27" i="3"/>
  <c r="AK52" i="1"/>
  <c r="AM52" i="1"/>
  <c r="W54" i="1"/>
  <c r="Z53" i="1"/>
  <c r="AA53" i="1" s="1"/>
  <c r="J27" i="3" l="1"/>
  <c r="I28" i="3"/>
  <c r="AK53" i="1"/>
  <c r="AM53" i="1"/>
  <c r="W55" i="1"/>
  <c r="Z54" i="1"/>
  <c r="AA54" i="1" s="1"/>
  <c r="J28" i="3" l="1"/>
  <c r="I29" i="3"/>
  <c r="AK54" i="1"/>
  <c r="AM54" i="1"/>
  <c r="W56" i="1"/>
  <c r="Z55" i="1"/>
  <c r="AA55" i="1" s="1"/>
  <c r="J29" i="3" l="1"/>
  <c r="I30" i="3"/>
  <c r="AM55" i="1"/>
  <c r="AK55" i="1"/>
  <c r="W57" i="1"/>
  <c r="Z56" i="1"/>
  <c r="AA56" i="1" s="1"/>
  <c r="J30" i="3" l="1"/>
  <c r="I31" i="3"/>
  <c r="AM56" i="1"/>
  <c r="AK56" i="1"/>
  <c r="W58" i="1"/>
  <c r="Z57" i="1"/>
  <c r="AA57" i="1" s="1"/>
  <c r="J31" i="3" l="1"/>
  <c r="I32" i="3"/>
  <c r="AK57" i="1"/>
  <c r="AM57" i="1"/>
  <c r="W59" i="1"/>
  <c r="Z58" i="1"/>
  <c r="AA58" i="1" s="1"/>
  <c r="J32" i="3" l="1"/>
  <c r="I33" i="3"/>
  <c r="AK58" i="1"/>
  <c r="AM58" i="1"/>
  <c r="W60" i="1"/>
  <c r="Z59" i="1"/>
  <c r="AA59" i="1" s="1"/>
  <c r="J33" i="3" l="1"/>
  <c r="I34" i="3"/>
  <c r="AK59" i="1"/>
  <c r="AM59" i="1"/>
  <c r="W61" i="1"/>
  <c r="Z60" i="1"/>
  <c r="AA60" i="1" s="1"/>
  <c r="J34" i="3" l="1"/>
  <c r="I35" i="3"/>
  <c r="W62" i="1"/>
  <c r="Z61" i="1"/>
  <c r="AA61" i="1" s="1"/>
  <c r="AM60" i="1"/>
  <c r="AK60" i="1"/>
  <c r="J35" i="3" l="1"/>
  <c r="I36" i="3"/>
  <c r="W63" i="1"/>
  <c r="Z62" i="1"/>
  <c r="AA62" i="1" s="1"/>
  <c r="AK61" i="1"/>
  <c r="AM61" i="1"/>
  <c r="J36" i="3" l="1"/>
  <c r="I37" i="3"/>
  <c r="AM62" i="1"/>
  <c r="AK62" i="1"/>
  <c r="W64" i="1"/>
  <c r="Z63" i="1"/>
  <c r="AA63" i="1" s="1"/>
  <c r="J37" i="3" l="1"/>
  <c r="I38" i="3"/>
  <c r="W65" i="1"/>
  <c r="Z64" i="1"/>
  <c r="AA64" i="1" s="1"/>
  <c r="AK63" i="1"/>
  <c r="AM63" i="1"/>
  <c r="J38" i="3" l="1"/>
  <c r="I39" i="3"/>
  <c r="AK64" i="1"/>
  <c r="AM64" i="1"/>
  <c r="W66" i="1"/>
  <c r="Z65" i="1"/>
  <c r="AA65" i="1" s="1"/>
  <c r="J39" i="3" l="1"/>
  <c r="I40" i="3"/>
  <c r="AM65" i="1"/>
  <c r="AK65" i="1"/>
  <c r="W67" i="1"/>
  <c r="Z66" i="1"/>
  <c r="AA66" i="1" s="1"/>
  <c r="J40" i="3" l="1"/>
  <c r="I41" i="3"/>
  <c r="W68" i="1"/>
  <c r="Z67" i="1"/>
  <c r="AA67" i="1" s="1"/>
  <c r="AK66" i="1"/>
  <c r="AM66" i="1"/>
  <c r="J41" i="3" l="1"/>
  <c r="I42" i="3"/>
  <c r="AK67" i="1"/>
  <c r="AM67" i="1"/>
  <c r="W69" i="1"/>
  <c r="Z68" i="1"/>
  <c r="AA68" i="1" s="1"/>
  <c r="J42" i="3" l="1"/>
  <c r="I43" i="3"/>
  <c r="W70" i="1"/>
  <c r="Z69" i="1"/>
  <c r="AA69" i="1" s="1"/>
  <c r="AK68" i="1"/>
  <c r="AM68" i="1"/>
  <c r="J43" i="3" l="1"/>
  <c r="I44" i="3"/>
  <c r="AM69" i="1"/>
  <c r="AK69" i="1"/>
  <c r="W71" i="1"/>
  <c r="Z70" i="1"/>
  <c r="AA70" i="1" s="1"/>
  <c r="J44" i="3" l="1"/>
  <c r="I45" i="3"/>
  <c r="AM70" i="1"/>
  <c r="AK70" i="1"/>
  <c r="W72" i="1"/>
  <c r="Z71" i="1"/>
  <c r="AA71" i="1" s="1"/>
  <c r="J45" i="3" l="1"/>
  <c r="I46" i="3"/>
  <c r="AK71" i="1"/>
  <c r="AM71" i="1"/>
  <c r="W73" i="1"/>
  <c r="Z72" i="1"/>
  <c r="AA72" i="1" s="1"/>
  <c r="J46" i="3" l="1"/>
  <c r="I47" i="3"/>
  <c r="AM72" i="1"/>
  <c r="AK72" i="1"/>
  <c r="W74" i="1"/>
  <c r="Z73" i="1"/>
  <c r="AA73" i="1" s="1"/>
  <c r="J47" i="3" l="1"/>
  <c r="I48" i="3"/>
  <c r="AM73" i="1"/>
  <c r="AK73" i="1"/>
  <c r="W75" i="1"/>
  <c r="Z74" i="1"/>
  <c r="AA74" i="1" s="1"/>
  <c r="J48" i="3" l="1"/>
  <c r="I49" i="3"/>
  <c r="AK74" i="1"/>
  <c r="AM74" i="1"/>
  <c r="W76" i="1"/>
  <c r="Z75" i="1"/>
  <c r="AA75" i="1" s="1"/>
  <c r="J49" i="3" l="1"/>
  <c r="I50" i="3"/>
  <c r="W77" i="1"/>
  <c r="Z76" i="1"/>
  <c r="AA76" i="1" s="1"/>
  <c r="AM75" i="1"/>
  <c r="AK75" i="1"/>
  <c r="J50" i="3" l="1"/>
  <c r="I51" i="3"/>
  <c r="AK76" i="1"/>
  <c r="AM76" i="1"/>
  <c r="W78" i="1"/>
  <c r="Z77" i="1"/>
  <c r="AA77" i="1" s="1"/>
  <c r="J51" i="3" l="1"/>
  <c r="I52" i="3"/>
  <c r="W79" i="1"/>
  <c r="Z78" i="1"/>
  <c r="AA78" i="1" s="1"/>
  <c r="AM77" i="1"/>
  <c r="AK77" i="1"/>
  <c r="J52" i="3" l="1"/>
  <c r="I53" i="3"/>
  <c r="W80" i="1"/>
  <c r="Z79" i="1"/>
  <c r="AA79" i="1" s="1"/>
  <c r="AK78" i="1"/>
  <c r="AM78" i="1"/>
  <c r="J53" i="3" l="1"/>
  <c r="I54" i="3"/>
  <c r="AM79" i="1"/>
  <c r="AK79" i="1"/>
  <c r="W81" i="1"/>
  <c r="Z80" i="1"/>
  <c r="AA80" i="1" s="1"/>
  <c r="J54" i="3" l="1"/>
  <c r="I55" i="3"/>
  <c r="AM80" i="1"/>
  <c r="AK80" i="1"/>
  <c r="W82" i="1"/>
  <c r="Z81" i="1"/>
  <c r="AA81" i="1" s="1"/>
  <c r="J55" i="3" l="1"/>
  <c r="I56" i="3"/>
  <c r="AK81" i="1"/>
  <c r="AM81" i="1"/>
  <c r="W83" i="1"/>
  <c r="Z82" i="1"/>
  <c r="AA82" i="1" s="1"/>
  <c r="J56" i="3" l="1"/>
  <c r="I57" i="3"/>
  <c r="AM82" i="1"/>
  <c r="AK82" i="1"/>
  <c r="W84" i="1"/>
  <c r="Z83" i="1"/>
  <c r="AA83" i="1" s="1"/>
  <c r="J57" i="3" l="1"/>
  <c r="I58" i="3"/>
  <c r="AK83" i="1"/>
  <c r="AM83" i="1"/>
  <c r="W85" i="1"/>
  <c r="Z84" i="1"/>
  <c r="AA84" i="1" s="1"/>
  <c r="J58" i="3" l="1"/>
  <c r="I59" i="3"/>
  <c r="W86" i="1"/>
  <c r="Z85" i="1"/>
  <c r="AA85" i="1" s="1"/>
  <c r="AM84" i="1"/>
  <c r="AK84" i="1"/>
  <c r="J59" i="3" l="1"/>
  <c r="I60" i="3"/>
  <c r="AM85" i="1"/>
  <c r="AK85" i="1"/>
  <c r="W87" i="1"/>
  <c r="Z86" i="1"/>
  <c r="AA86" i="1" s="1"/>
  <c r="J60" i="3" l="1"/>
  <c r="I61" i="3"/>
  <c r="AK86" i="1"/>
  <c r="AM86" i="1"/>
  <c r="W88" i="1"/>
  <c r="Z87" i="1"/>
  <c r="AA87" i="1" s="1"/>
  <c r="J61" i="3" l="1"/>
  <c r="I62" i="3"/>
  <c r="W89" i="1"/>
  <c r="Z88" i="1"/>
  <c r="AA88" i="1" s="1"/>
  <c r="AK87" i="1"/>
  <c r="AM87" i="1"/>
  <c r="J62" i="3" l="1"/>
  <c r="I63" i="3"/>
  <c r="AK88" i="1"/>
  <c r="AM88" i="1"/>
  <c r="W90" i="1"/>
  <c r="Z89" i="1"/>
  <c r="AA89" i="1" s="1"/>
  <c r="J63" i="3" l="1"/>
  <c r="I64" i="3"/>
  <c r="W91" i="1"/>
  <c r="Z90" i="1"/>
  <c r="AA90" i="1" s="1"/>
  <c r="AK89" i="1"/>
  <c r="AM89" i="1"/>
  <c r="J64" i="3" l="1"/>
  <c r="I65" i="3"/>
  <c r="AM90" i="1"/>
  <c r="AK90" i="1"/>
  <c r="W92" i="1"/>
  <c r="Z91" i="1"/>
  <c r="AA91" i="1" s="1"/>
  <c r="J65" i="3" l="1"/>
  <c r="I66" i="3"/>
  <c r="AK91" i="1"/>
  <c r="AM91" i="1"/>
  <c r="W93" i="1"/>
  <c r="Z92" i="1"/>
  <c r="AA92" i="1" s="1"/>
  <c r="J66" i="3" l="1"/>
  <c r="I67" i="3"/>
  <c r="AM92" i="1"/>
  <c r="AK92" i="1"/>
  <c r="W94" i="1"/>
  <c r="Z93" i="1"/>
  <c r="AA93" i="1" s="1"/>
  <c r="J67" i="3" l="1"/>
  <c r="I68" i="3"/>
  <c r="AM93" i="1"/>
  <c r="AK93" i="1"/>
  <c r="W95" i="1"/>
  <c r="Z94" i="1"/>
  <c r="AA94" i="1" s="1"/>
  <c r="J68" i="3" l="1"/>
  <c r="I69" i="3"/>
  <c r="AM94" i="1"/>
  <c r="AK94" i="1"/>
  <c r="W96" i="1"/>
  <c r="Z95" i="1"/>
  <c r="AA95" i="1" s="1"/>
  <c r="J69" i="3" l="1"/>
  <c r="I70" i="3"/>
  <c r="W97" i="1"/>
  <c r="Z96" i="1"/>
  <c r="AA96" i="1" s="1"/>
  <c r="AM95" i="1"/>
  <c r="AK95" i="1"/>
  <c r="J70" i="3" l="1"/>
  <c r="I71" i="3"/>
  <c r="AM96" i="1"/>
  <c r="AK96" i="1"/>
  <c r="W98" i="1"/>
  <c r="Z97" i="1"/>
  <c r="AA97" i="1" s="1"/>
  <c r="J71" i="3" l="1"/>
  <c r="I72" i="3"/>
  <c r="AM97" i="1"/>
  <c r="AK97" i="1"/>
  <c r="W99" i="1"/>
  <c r="Z98" i="1"/>
  <c r="AA98" i="1" s="1"/>
  <c r="J72" i="3" l="1"/>
  <c r="I73" i="3"/>
  <c r="W100" i="1"/>
  <c r="Z99" i="1"/>
  <c r="AA99" i="1" s="1"/>
  <c r="AK98" i="1"/>
  <c r="AM98" i="1"/>
  <c r="J73" i="3" l="1"/>
  <c r="I74" i="3"/>
  <c r="AM99" i="1"/>
  <c r="AK99" i="1"/>
  <c r="W101" i="1"/>
  <c r="Z100" i="1"/>
  <c r="AA100" i="1" s="1"/>
  <c r="J74" i="3" l="1"/>
  <c r="I75" i="3"/>
  <c r="W102" i="1"/>
  <c r="Z101" i="1"/>
  <c r="AA101" i="1" s="1"/>
  <c r="AM100" i="1"/>
  <c r="AK100" i="1"/>
  <c r="J75" i="3" l="1"/>
  <c r="I76" i="3"/>
  <c r="AK101" i="1"/>
  <c r="AM101" i="1"/>
  <c r="W103" i="1"/>
  <c r="Z102" i="1"/>
  <c r="AA102" i="1" s="1"/>
  <c r="J76" i="3" l="1"/>
  <c r="I77" i="3"/>
  <c r="AK102" i="1"/>
  <c r="AM102" i="1"/>
  <c r="W104" i="1"/>
  <c r="Z103" i="1"/>
  <c r="AA103" i="1" s="1"/>
  <c r="J77" i="3" l="1"/>
  <c r="I78" i="3"/>
  <c r="AK103" i="1"/>
  <c r="AM103" i="1"/>
  <c r="W105" i="1"/>
  <c r="Z104" i="1"/>
  <c r="AA104" i="1" s="1"/>
  <c r="J78" i="3" l="1"/>
  <c r="I79" i="3"/>
  <c r="W106" i="1"/>
  <c r="Z105" i="1"/>
  <c r="AA105" i="1" s="1"/>
  <c r="AM104" i="1"/>
  <c r="AK104" i="1"/>
  <c r="J79" i="3" l="1"/>
  <c r="I80" i="3"/>
  <c r="AM105" i="1"/>
  <c r="AK105" i="1"/>
  <c r="W107" i="1"/>
  <c r="Z106" i="1"/>
  <c r="AA106" i="1" s="1"/>
  <c r="J80" i="3" l="1"/>
  <c r="I81" i="3"/>
  <c r="W108" i="1"/>
  <c r="Z107" i="1"/>
  <c r="AA107" i="1" s="1"/>
  <c r="AM106" i="1"/>
  <c r="AK106" i="1"/>
  <c r="J81" i="3" l="1"/>
  <c r="I82" i="3"/>
  <c r="AK107" i="1"/>
  <c r="AM107" i="1"/>
  <c r="W109" i="1"/>
  <c r="Z108" i="1"/>
  <c r="AA108" i="1" s="1"/>
  <c r="J82" i="3" l="1"/>
  <c r="I83" i="3"/>
  <c r="W110" i="1"/>
  <c r="Z109" i="1"/>
  <c r="AA109" i="1" s="1"/>
  <c r="AK108" i="1"/>
  <c r="AM108" i="1"/>
  <c r="J83" i="3" l="1"/>
  <c r="I84" i="3"/>
  <c r="AM109" i="1"/>
  <c r="AK109" i="1"/>
  <c r="W111" i="1"/>
  <c r="Z110" i="1"/>
  <c r="AA110" i="1" s="1"/>
  <c r="J84" i="3" l="1"/>
  <c r="I85" i="3"/>
  <c r="AK110" i="1"/>
  <c r="AM110" i="1"/>
  <c r="W112" i="1"/>
  <c r="Z111" i="1"/>
  <c r="AA111" i="1" s="1"/>
  <c r="J85" i="3" l="1"/>
  <c r="I86" i="3"/>
  <c r="AK111" i="1"/>
  <c r="AM111" i="1"/>
  <c r="W113" i="1"/>
  <c r="Z112" i="1"/>
  <c r="AA112" i="1" s="1"/>
  <c r="J86" i="3" l="1"/>
  <c r="I87" i="3"/>
  <c r="AK112" i="1"/>
  <c r="AM112" i="1"/>
  <c r="W114" i="1"/>
  <c r="Z113" i="1"/>
  <c r="AA113" i="1" s="1"/>
  <c r="J87" i="3" l="1"/>
  <c r="I88" i="3"/>
  <c r="AK113" i="1"/>
  <c r="AM113" i="1"/>
  <c r="W115" i="1"/>
  <c r="Z114" i="1"/>
  <c r="AA114" i="1" s="1"/>
  <c r="J88" i="3" l="1"/>
  <c r="I89" i="3"/>
  <c r="AK114" i="1"/>
  <c r="AM114" i="1"/>
  <c r="W116" i="1"/>
  <c r="Z115" i="1"/>
  <c r="AA115" i="1" s="1"/>
  <c r="J89" i="3" l="1"/>
  <c r="I90" i="3"/>
  <c r="AK115" i="1"/>
  <c r="AM115" i="1"/>
  <c r="W117" i="1"/>
  <c r="Z116" i="1"/>
  <c r="AA116" i="1" s="1"/>
  <c r="J90" i="3" l="1"/>
  <c r="I91" i="3"/>
  <c r="W118" i="1"/>
  <c r="Z117" i="1"/>
  <c r="AA117" i="1" s="1"/>
  <c r="AM116" i="1"/>
  <c r="AK116" i="1"/>
  <c r="J91" i="3" l="1"/>
  <c r="I92" i="3"/>
  <c r="AK117" i="1"/>
  <c r="AM117" i="1"/>
  <c r="W119" i="1"/>
  <c r="Z118" i="1"/>
  <c r="AA118" i="1" s="1"/>
  <c r="J92" i="3" l="1"/>
  <c r="I93" i="3"/>
  <c r="AM118" i="1"/>
  <c r="AK118" i="1"/>
  <c r="W120" i="1"/>
  <c r="Z119" i="1"/>
  <c r="AA119" i="1" s="1"/>
  <c r="J93" i="3" l="1"/>
  <c r="I94" i="3"/>
  <c r="AK119" i="1"/>
  <c r="AM119" i="1"/>
  <c r="W121" i="1"/>
  <c r="Z120" i="1"/>
  <c r="AA120" i="1" s="1"/>
  <c r="J94" i="3" l="1"/>
  <c r="I95" i="3"/>
  <c r="AK120" i="1"/>
  <c r="AM120" i="1"/>
  <c r="W122" i="1"/>
  <c r="Z121" i="1"/>
  <c r="AA121" i="1" s="1"/>
  <c r="J95" i="3" l="1"/>
  <c r="I96" i="3"/>
  <c r="W123" i="1"/>
  <c r="Z122" i="1"/>
  <c r="AA122" i="1" s="1"/>
  <c r="AM121" i="1"/>
  <c r="AK121" i="1"/>
  <c r="J96" i="3" l="1"/>
  <c r="I97" i="3"/>
  <c r="AK122" i="1"/>
  <c r="AM122" i="1"/>
  <c r="W124" i="1"/>
  <c r="Z123" i="1"/>
  <c r="AA123" i="1" s="1"/>
  <c r="J97" i="3" l="1"/>
  <c r="I98" i="3"/>
  <c r="AM123" i="1"/>
  <c r="AK123" i="1"/>
  <c r="W125" i="1"/>
  <c r="Z124" i="1"/>
  <c r="AA124" i="1" s="1"/>
  <c r="J98" i="3" l="1"/>
  <c r="I99" i="3"/>
  <c r="AM124" i="1"/>
  <c r="AK124" i="1"/>
  <c r="W126" i="1"/>
  <c r="Z125" i="1"/>
  <c r="AA125" i="1" s="1"/>
  <c r="J99" i="3" l="1"/>
  <c r="I100" i="3"/>
  <c r="W127" i="1"/>
  <c r="Z126" i="1"/>
  <c r="AA126" i="1" s="1"/>
  <c r="AM125" i="1"/>
  <c r="AK125" i="1"/>
  <c r="J100" i="3" l="1"/>
  <c r="I101" i="3"/>
  <c r="AK126" i="1"/>
  <c r="AM126" i="1"/>
  <c r="W128" i="1"/>
  <c r="Z127" i="1"/>
  <c r="AA127" i="1" s="1"/>
  <c r="J101" i="3" l="1"/>
  <c r="I102" i="3"/>
  <c r="AM127" i="1"/>
  <c r="AK127" i="1"/>
  <c r="W129" i="1"/>
  <c r="Z128" i="1"/>
  <c r="AA128" i="1" s="1"/>
  <c r="J102" i="3" l="1"/>
  <c r="I103" i="3"/>
  <c r="W130" i="1"/>
  <c r="Z129" i="1"/>
  <c r="AA129" i="1" s="1"/>
  <c r="AK128" i="1"/>
  <c r="AM128" i="1"/>
  <c r="J103" i="3" l="1"/>
  <c r="I104" i="3"/>
  <c r="W131" i="1"/>
  <c r="Z130" i="1"/>
  <c r="AA130" i="1" s="1"/>
  <c r="AK129" i="1"/>
  <c r="AM129" i="1"/>
  <c r="J104" i="3" l="1"/>
  <c r="I105" i="3"/>
  <c r="AK130" i="1"/>
  <c r="AM130" i="1"/>
  <c r="W132" i="1"/>
  <c r="Z131" i="1"/>
  <c r="AA131" i="1" s="1"/>
  <c r="J105" i="3" l="1"/>
  <c r="I106" i="3"/>
  <c r="W133" i="1"/>
  <c r="Z132" i="1"/>
  <c r="AA132" i="1" s="1"/>
  <c r="AK131" i="1"/>
  <c r="AM131" i="1"/>
  <c r="J106" i="3" l="1"/>
  <c r="I107" i="3"/>
  <c r="AK132" i="1"/>
  <c r="AM132" i="1"/>
  <c r="W134" i="1"/>
  <c r="Z133" i="1"/>
  <c r="AA133" i="1" s="1"/>
  <c r="J107" i="3" l="1"/>
  <c r="I108" i="3"/>
  <c r="AM133" i="1"/>
  <c r="AK133" i="1"/>
  <c r="W135" i="1"/>
  <c r="Z134" i="1"/>
  <c r="AA134" i="1" s="1"/>
  <c r="J108" i="3" l="1"/>
  <c r="I109" i="3"/>
  <c r="AM134" i="1"/>
  <c r="AK134" i="1"/>
  <c r="W136" i="1"/>
  <c r="Z135" i="1"/>
  <c r="AA135" i="1" s="1"/>
  <c r="J109" i="3" l="1"/>
  <c r="I110" i="3"/>
  <c r="W137" i="1"/>
  <c r="Z136" i="1"/>
  <c r="AA136" i="1" s="1"/>
  <c r="AK135" i="1"/>
  <c r="AM135" i="1"/>
  <c r="J110" i="3" l="1"/>
  <c r="I111" i="3"/>
  <c r="AK136" i="1"/>
  <c r="AM136" i="1"/>
  <c r="W138" i="1"/>
  <c r="Z137" i="1"/>
  <c r="AA137" i="1" s="1"/>
  <c r="J111" i="3" l="1"/>
  <c r="I112" i="3"/>
  <c r="AM137" i="1"/>
  <c r="AK137" i="1"/>
  <c r="W139" i="1"/>
  <c r="Z138" i="1"/>
  <c r="AA138" i="1" s="1"/>
  <c r="J112" i="3" l="1"/>
  <c r="I113" i="3"/>
  <c r="AK138" i="1"/>
  <c r="AM138" i="1"/>
  <c r="W140" i="1"/>
  <c r="Z139" i="1"/>
  <c r="AA139" i="1" s="1"/>
  <c r="J113" i="3" l="1"/>
  <c r="I114" i="3"/>
  <c r="W141" i="1"/>
  <c r="Z140" i="1"/>
  <c r="AA140" i="1" s="1"/>
  <c r="AM139" i="1"/>
  <c r="AK139" i="1"/>
  <c r="J114" i="3" l="1"/>
  <c r="I115" i="3"/>
  <c r="AK140" i="1"/>
  <c r="AM140" i="1"/>
  <c r="W142" i="1"/>
  <c r="Z141" i="1"/>
  <c r="AA141" i="1" s="1"/>
  <c r="J115" i="3" l="1"/>
  <c r="I116" i="3"/>
  <c r="W143" i="1"/>
  <c r="Z142" i="1"/>
  <c r="AA142" i="1" s="1"/>
  <c r="AK141" i="1"/>
  <c r="AM141" i="1"/>
  <c r="J116" i="3" l="1"/>
  <c r="I117" i="3"/>
  <c r="AK142" i="1"/>
  <c r="AM142" i="1"/>
  <c r="W144" i="1"/>
  <c r="Z143" i="1"/>
  <c r="AA143" i="1" s="1"/>
  <c r="J117" i="3" l="1"/>
  <c r="I118" i="3"/>
  <c r="W145" i="1"/>
  <c r="Z144" i="1"/>
  <c r="AA144" i="1" s="1"/>
  <c r="AK143" i="1"/>
  <c r="AM143" i="1"/>
  <c r="J118" i="3" l="1"/>
  <c r="I119" i="3"/>
  <c r="AM144" i="1"/>
  <c r="AK144" i="1"/>
  <c r="W146" i="1"/>
  <c r="Z145" i="1"/>
  <c r="AA145" i="1" s="1"/>
  <c r="J119" i="3" l="1"/>
  <c r="I120" i="3"/>
  <c r="AM145" i="1"/>
  <c r="AK145" i="1"/>
  <c r="W147" i="1"/>
  <c r="Z146" i="1"/>
  <c r="AA146" i="1" s="1"/>
  <c r="J120" i="3" l="1"/>
  <c r="I121" i="3"/>
  <c r="J121" i="3" s="1"/>
  <c r="AM146" i="1"/>
  <c r="AK146" i="1"/>
  <c r="W148" i="1"/>
  <c r="Z147" i="1"/>
  <c r="AA147" i="1" s="1"/>
  <c r="AK147" i="1" l="1"/>
  <c r="AM147" i="1"/>
  <c r="W149" i="1"/>
  <c r="Z148" i="1"/>
  <c r="AA148" i="1" s="1"/>
  <c r="W150" i="1" l="1"/>
  <c r="Z149" i="1"/>
  <c r="AA149" i="1" s="1"/>
  <c r="AK148" i="1"/>
  <c r="AM148" i="1"/>
  <c r="AK149" i="1" l="1"/>
  <c r="AM149" i="1"/>
  <c r="W151" i="1"/>
  <c r="Z150" i="1"/>
  <c r="AA150" i="1" s="1"/>
  <c r="AK150" i="1" l="1"/>
  <c r="AM150" i="1"/>
  <c r="W152" i="1"/>
  <c r="Z151" i="1"/>
  <c r="AA151" i="1" s="1"/>
  <c r="AK151" i="1" l="1"/>
  <c r="AM151" i="1"/>
  <c r="W153" i="1"/>
  <c r="Z152" i="1"/>
  <c r="AA152" i="1" s="1"/>
  <c r="AM152" i="1" l="1"/>
  <c r="AK152" i="1"/>
  <c r="W154" i="1"/>
  <c r="Z153" i="1"/>
  <c r="AA153" i="1" s="1"/>
  <c r="AM153" i="1" l="1"/>
  <c r="AK153" i="1"/>
  <c r="W155" i="1"/>
  <c r="Z154" i="1"/>
  <c r="AA154" i="1" s="1"/>
  <c r="AM154" i="1" l="1"/>
  <c r="AK154" i="1"/>
  <c r="W156" i="1"/>
  <c r="Z155" i="1"/>
  <c r="AA155" i="1" s="1"/>
  <c r="AK155" i="1" l="1"/>
  <c r="AM155" i="1"/>
  <c r="W157" i="1"/>
  <c r="Z156" i="1"/>
  <c r="AA156" i="1" s="1"/>
  <c r="W158" i="1" l="1"/>
  <c r="Z157" i="1"/>
  <c r="AA157" i="1" s="1"/>
  <c r="AK156" i="1"/>
  <c r="AM156" i="1"/>
  <c r="AK157" i="1" l="1"/>
  <c r="AM157" i="1"/>
  <c r="W159" i="1"/>
  <c r="Z158" i="1"/>
  <c r="AA158" i="1" s="1"/>
  <c r="AM158" i="1" l="1"/>
  <c r="AK158" i="1"/>
  <c r="W160" i="1"/>
  <c r="Z159" i="1"/>
  <c r="AA159" i="1" s="1"/>
  <c r="C114" i="3" a="1"/>
  <c r="C114" i="3" l="1"/>
  <c r="D114" i="3" s="1"/>
  <c r="AM159" i="1"/>
  <c r="AK159" i="1"/>
  <c r="W161" i="1"/>
  <c r="Z160" i="1"/>
  <c r="AA160" i="1" s="1"/>
  <c r="C72" i="3" a="1"/>
  <c r="C72" i="3" l="1"/>
  <c r="D72" i="3" s="1"/>
  <c r="W162" i="1"/>
  <c r="Z161" i="1"/>
  <c r="AA161" i="1" s="1"/>
  <c r="AK160" i="1"/>
  <c r="AM160" i="1"/>
  <c r="AM161" i="1" l="1"/>
  <c r="AK161" i="1"/>
  <c r="W163" i="1"/>
  <c r="Z162" i="1"/>
  <c r="AA162" i="1" s="1"/>
  <c r="W164" i="1" l="1"/>
  <c r="Z163" i="1"/>
  <c r="AA163" i="1" s="1"/>
  <c r="AK162" i="1"/>
  <c r="AM162" i="1"/>
  <c r="C109" i="3" a="1"/>
  <c r="C67" i="3" a="1"/>
  <c r="C66" i="3" a="1"/>
  <c r="C10" i="3" a="1"/>
  <c r="C55" i="3" a="1"/>
  <c r="C109" i="3" l="1"/>
  <c r="D109" i="3" s="1"/>
  <c r="C67" i="3"/>
  <c r="D67" i="3" s="1"/>
  <c r="C66" i="3"/>
  <c r="D66" i="3" s="1"/>
  <c r="C10" i="3"/>
  <c r="D10" i="3" s="1"/>
  <c r="C55" i="3"/>
  <c r="D55" i="3" s="1"/>
  <c r="AK163" i="1"/>
  <c r="AM163" i="1"/>
  <c r="W165" i="1"/>
  <c r="Z164" i="1"/>
  <c r="AA164" i="1" s="1"/>
  <c r="C65" i="3" a="1"/>
  <c r="C7" i="3" a="1"/>
  <c r="C87" i="3" a="1"/>
  <c r="C22" i="3" a="1"/>
  <c r="C37" i="3" a="1"/>
  <c r="C31" i="3" a="1"/>
  <c r="C91" i="3" a="1"/>
  <c r="C63" i="3" a="1"/>
  <c r="C62" i="3" a="1"/>
  <c r="C77" i="3" a="1"/>
  <c r="C51" i="3" a="1"/>
  <c r="C30" i="3" a="1"/>
  <c r="C76" i="3" a="1"/>
  <c r="C103" i="3" a="1"/>
  <c r="C11" i="3" a="1"/>
  <c r="C65" i="3" l="1"/>
  <c r="D65" i="3" s="1"/>
  <c r="C7" i="3"/>
  <c r="D7" i="3" s="1"/>
  <c r="C87" i="3"/>
  <c r="D87" i="3" s="1"/>
  <c r="C22" i="3"/>
  <c r="D22" i="3" s="1"/>
  <c r="C37" i="3"/>
  <c r="D37" i="3" s="1"/>
  <c r="C31" i="3"/>
  <c r="D31" i="3" s="1"/>
  <c r="C91" i="3"/>
  <c r="D91" i="3" s="1"/>
  <c r="C63" i="3"/>
  <c r="D63" i="3" s="1"/>
  <c r="C62" i="3"/>
  <c r="D62" i="3" s="1"/>
  <c r="C51" i="3"/>
  <c r="D51" i="3" s="1"/>
  <c r="C77" i="3"/>
  <c r="D77" i="3" s="1"/>
  <c r="C30" i="3"/>
  <c r="D30" i="3" s="1"/>
  <c r="C76" i="3"/>
  <c r="D76" i="3" s="1"/>
  <c r="C103" i="3"/>
  <c r="D103" i="3" s="1"/>
  <c r="C11" i="3"/>
  <c r="D11" i="3" s="1"/>
  <c r="W166" i="1"/>
  <c r="Z166" i="1" s="1"/>
  <c r="AA166" i="1" s="1"/>
  <c r="Z165" i="1"/>
  <c r="AA165" i="1" s="1"/>
  <c r="AK164" i="1"/>
  <c r="AM164" i="1"/>
  <c r="C117" i="3" a="1"/>
  <c r="C39" i="3" a="1"/>
  <c r="C108" i="3" a="1"/>
  <c r="C45" i="3" a="1"/>
  <c r="C102" i="3" a="1"/>
  <c r="C100" i="3" a="1"/>
  <c r="C35" i="3" a="1"/>
  <c r="C88" i="3" a="1"/>
  <c r="C20" i="3" a="1"/>
  <c r="C120" i="3" a="1"/>
  <c r="C98" i="3" a="1"/>
  <c r="C5" i="3" a="1"/>
  <c r="C50" i="3" a="1"/>
  <c r="C42" i="3" a="1"/>
  <c r="C84" i="3" a="1"/>
  <c r="C15" i="3" a="1"/>
  <c r="C9" i="3" a="1"/>
  <c r="C17" i="3" a="1"/>
  <c r="C56" i="3" a="1"/>
  <c r="C53" i="3" a="1"/>
  <c r="C2" i="3" a="1"/>
  <c r="C73" i="3" a="1"/>
  <c r="C90" i="3" a="1"/>
  <c r="C93" i="3" a="1"/>
  <c r="C44" i="3" a="1"/>
  <c r="C23" i="3" a="1"/>
  <c r="C95" i="3" a="1"/>
  <c r="C119" i="3" a="1"/>
  <c r="C106" i="3" a="1"/>
  <c r="C21" i="3" a="1"/>
  <c r="C116" i="3" a="1"/>
  <c r="C111" i="3" a="1"/>
  <c r="C83" i="3" a="1"/>
  <c r="C69" i="3" a="1"/>
  <c r="C68" i="3" a="1"/>
  <c r="C47" i="3" a="1"/>
  <c r="C105" i="3" a="1"/>
  <c r="C36" i="3" a="1"/>
  <c r="C14" i="3" a="1"/>
  <c r="C112" i="3" a="1"/>
  <c r="C25" i="3" a="1"/>
  <c r="C86" i="3" a="1"/>
  <c r="C104" i="3" a="1"/>
  <c r="C49" i="3" a="1"/>
  <c r="C48" i="3" a="1"/>
  <c r="C8" i="3" a="1"/>
  <c r="C89" i="3" a="1"/>
  <c r="C81" i="3" a="1"/>
  <c r="C57" i="3" a="1"/>
  <c r="C64" i="3" a="1"/>
  <c r="C92" i="3" a="1"/>
  <c r="C78" i="3" a="1"/>
  <c r="C18" i="3" a="1"/>
  <c r="C34" i="3" a="1"/>
  <c r="C24" i="3" a="1"/>
  <c r="C107" i="3" a="1"/>
  <c r="C70" i="3" a="1"/>
  <c r="C12" i="3" a="1"/>
  <c r="C71" i="3" a="1"/>
  <c r="C41" i="3" a="1"/>
  <c r="C46" i="3" a="1"/>
  <c r="C32" i="3" a="1"/>
  <c r="C58" i="3" a="1"/>
  <c r="C96" i="3" a="1"/>
  <c r="C74" i="3" a="1"/>
  <c r="C82" i="3" a="1"/>
  <c r="C115" i="3" a="1"/>
  <c r="C13" i="3" a="1"/>
  <c r="C94" i="3" a="1"/>
  <c r="C118" i="3" a="1"/>
  <c r="C52" i="3" a="1"/>
  <c r="C26" i="3" a="1"/>
  <c r="C40" i="3" a="1"/>
  <c r="C3" i="3" a="1"/>
  <c r="C75" i="3" a="1"/>
  <c r="C43" i="3" a="1"/>
  <c r="C59" i="3" a="1"/>
  <c r="C16" i="3" a="1"/>
  <c r="C99" i="3" a="1"/>
  <c r="C19" i="3" a="1"/>
  <c r="C60" i="3" a="1"/>
  <c r="C38" i="3" a="1"/>
  <c r="C79" i="3" a="1"/>
  <c r="C27" i="3" a="1"/>
  <c r="C4" i="3" a="1"/>
  <c r="C85" i="3" a="1"/>
  <c r="C33" i="3" a="1"/>
  <c r="C54" i="3" a="1"/>
  <c r="C80" i="3" a="1"/>
  <c r="C29" i="3" a="1"/>
  <c r="C101" i="3" a="1"/>
  <c r="C28" i="3" a="1"/>
  <c r="C97" i="3" a="1"/>
  <c r="C6" i="3" a="1"/>
  <c r="C113" i="3" a="1"/>
  <c r="C121" i="3" a="1"/>
  <c r="C110" i="3" a="1"/>
  <c r="C61" i="3" a="1"/>
  <c r="C117" i="3" l="1"/>
  <c r="D117" i="3" s="1"/>
  <c r="C39" i="3"/>
  <c r="D39" i="3" s="1"/>
  <c r="C45" i="3"/>
  <c r="D45" i="3" s="1"/>
  <c r="C108" i="3"/>
  <c r="D108" i="3" s="1"/>
  <c r="C102" i="3"/>
  <c r="D102" i="3" s="1"/>
  <c r="C100" i="3"/>
  <c r="D100" i="3" s="1"/>
  <c r="C35" i="3"/>
  <c r="D35" i="3" s="1"/>
  <c r="C88" i="3"/>
  <c r="D88" i="3" s="1"/>
  <c r="C20" i="3"/>
  <c r="D20" i="3" s="1"/>
  <c r="C120" i="3"/>
  <c r="D120" i="3" s="1"/>
  <c r="C5" i="3"/>
  <c r="D5" i="3" s="1"/>
  <c r="C98" i="3"/>
  <c r="D98" i="3" s="1"/>
  <c r="C50" i="3"/>
  <c r="D50" i="3" s="1"/>
  <c r="C42" i="3"/>
  <c r="D42" i="3" s="1"/>
  <c r="C84" i="3"/>
  <c r="D84" i="3" s="1"/>
  <c r="C15" i="3"/>
  <c r="D15" i="3" s="1"/>
  <c r="C9" i="3"/>
  <c r="D9" i="3" s="1"/>
  <c r="C56" i="3"/>
  <c r="D56" i="3" s="1"/>
  <c r="C17" i="3"/>
  <c r="D17" i="3" s="1"/>
  <c r="C53" i="3"/>
  <c r="D53" i="3" s="1"/>
  <c r="C73" i="3"/>
  <c r="D73" i="3" s="1"/>
  <c r="C2" i="3"/>
  <c r="D2" i="3" s="1"/>
  <c r="E2" i="3" s="1"/>
  <c r="F2" i="3" s="1"/>
  <c r="K2" i="3" s="1"/>
  <c r="C90" i="3"/>
  <c r="D90" i="3" s="1"/>
  <c r="C93" i="3"/>
  <c r="D93" i="3" s="1"/>
  <c r="C44" i="3"/>
  <c r="D44" i="3" s="1"/>
  <c r="C23" i="3"/>
  <c r="D23" i="3" s="1"/>
  <c r="C95" i="3"/>
  <c r="D95" i="3" s="1"/>
  <c r="C106" i="3"/>
  <c r="D106" i="3" s="1"/>
  <c r="C119" i="3"/>
  <c r="D119" i="3" s="1"/>
  <c r="C21" i="3"/>
  <c r="D21" i="3" s="1"/>
  <c r="C111" i="3"/>
  <c r="D111" i="3" s="1"/>
  <c r="C116" i="3"/>
  <c r="D116" i="3" s="1"/>
  <c r="C83" i="3"/>
  <c r="D83" i="3" s="1"/>
  <c r="C69" i="3"/>
  <c r="D69" i="3" s="1"/>
  <c r="C68" i="3"/>
  <c r="D68" i="3" s="1"/>
  <c r="C47" i="3"/>
  <c r="D47" i="3" s="1"/>
  <c r="C14" i="3"/>
  <c r="D14" i="3" s="1"/>
  <c r="C36" i="3"/>
  <c r="D36" i="3" s="1"/>
  <c r="C105" i="3"/>
  <c r="D105" i="3" s="1"/>
  <c r="C104" i="3"/>
  <c r="D104" i="3" s="1"/>
  <c r="C86" i="3"/>
  <c r="D86" i="3" s="1"/>
  <c r="C25" i="3"/>
  <c r="D25" i="3" s="1"/>
  <c r="C112" i="3"/>
  <c r="D112" i="3" s="1"/>
  <c r="C49" i="3"/>
  <c r="D49" i="3" s="1"/>
  <c r="C48" i="3"/>
  <c r="D48" i="3" s="1"/>
  <c r="C89" i="3"/>
  <c r="D89" i="3" s="1"/>
  <c r="C8" i="3"/>
  <c r="D8" i="3" s="1"/>
  <c r="C64" i="3"/>
  <c r="D64" i="3" s="1"/>
  <c r="C57" i="3"/>
  <c r="D57" i="3" s="1"/>
  <c r="C81" i="3"/>
  <c r="D81" i="3" s="1"/>
  <c r="C78" i="3"/>
  <c r="D78" i="3" s="1"/>
  <c r="C92" i="3"/>
  <c r="D92" i="3" s="1"/>
  <c r="C34" i="3"/>
  <c r="D34" i="3" s="1"/>
  <c r="C18" i="3"/>
  <c r="D18" i="3" s="1"/>
  <c r="C24" i="3"/>
  <c r="D24" i="3" s="1"/>
  <c r="C107" i="3"/>
  <c r="D107" i="3" s="1"/>
  <c r="C70" i="3"/>
  <c r="D70" i="3" s="1"/>
  <c r="C12" i="3"/>
  <c r="D12" i="3" s="1"/>
  <c r="C71" i="3"/>
  <c r="D71" i="3" s="1"/>
  <c r="C41" i="3"/>
  <c r="D41" i="3" s="1"/>
  <c r="C46" i="3"/>
  <c r="D46" i="3" s="1"/>
  <c r="C58" i="3"/>
  <c r="D58" i="3" s="1"/>
  <c r="C32" i="3"/>
  <c r="D32" i="3" s="1"/>
  <c r="C96" i="3"/>
  <c r="D96" i="3" s="1"/>
  <c r="C82" i="3"/>
  <c r="D82" i="3" s="1"/>
  <c r="C74" i="3"/>
  <c r="D74" i="3" s="1"/>
  <c r="C13" i="3"/>
  <c r="D13" i="3" s="1"/>
  <c r="C115" i="3"/>
  <c r="D115" i="3" s="1"/>
  <c r="C94" i="3"/>
  <c r="D94" i="3" s="1"/>
  <c r="C118" i="3"/>
  <c r="D118" i="3" s="1"/>
  <c r="C52" i="3"/>
  <c r="D52" i="3" s="1"/>
  <c r="C75" i="3"/>
  <c r="D75" i="3" s="1"/>
  <c r="C3" i="3"/>
  <c r="D3" i="3" s="1"/>
  <c r="C40" i="3"/>
  <c r="D40" i="3" s="1"/>
  <c r="C26" i="3"/>
  <c r="D26" i="3" s="1"/>
  <c r="C43" i="3"/>
  <c r="D43" i="3" s="1"/>
  <c r="C16" i="3"/>
  <c r="D16" i="3" s="1"/>
  <c r="C59" i="3"/>
  <c r="D59" i="3" s="1"/>
  <c r="C99" i="3"/>
  <c r="D99" i="3" s="1"/>
  <c r="C60" i="3"/>
  <c r="D60" i="3" s="1"/>
  <c r="C19" i="3"/>
  <c r="D19" i="3" s="1"/>
  <c r="C38" i="3"/>
  <c r="D38" i="3" s="1"/>
  <c r="C27" i="3"/>
  <c r="D27" i="3" s="1"/>
  <c r="C79" i="3"/>
  <c r="D79" i="3" s="1"/>
  <c r="C4" i="3"/>
  <c r="D4" i="3" s="1"/>
  <c r="C85" i="3"/>
  <c r="D85" i="3" s="1"/>
  <c r="C33" i="3"/>
  <c r="D33" i="3" s="1"/>
  <c r="C29" i="3"/>
  <c r="D29" i="3" s="1"/>
  <c r="C80" i="3"/>
  <c r="D80" i="3" s="1"/>
  <c r="C54" i="3"/>
  <c r="D54" i="3" s="1"/>
  <c r="C28" i="3"/>
  <c r="D28" i="3" s="1"/>
  <c r="C101" i="3"/>
  <c r="D101" i="3" s="1"/>
  <c r="C97" i="3"/>
  <c r="D97" i="3" s="1"/>
  <c r="C121" i="3"/>
  <c r="D121" i="3" s="1"/>
  <c r="C113" i="3"/>
  <c r="D113" i="3" s="1"/>
  <c r="C6" i="3"/>
  <c r="D6" i="3" s="1"/>
  <c r="C61" i="3"/>
  <c r="D61" i="3" s="1"/>
  <c r="C110" i="3"/>
  <c r="D110" i="3" s="1"/>
  <c r="AM165" i="1"/>
  <c r="AK165" i="1"/>
  <c r="AM166" i="1"/>
  <c r="AK166" i="1"/>
  <c r="L2" i="3" l="1"/>
  <c r="E3" i="3"/>
  <c r="F3" i="3" s="1"/>
  <c r="L3" i="3" s="1"/>
  <c r="I16" i="1"/>
  <c r="E31" i="6" s="1"/>
  <c r="I14" i="1"/>
  <c r="E29" i="6" s="1"/>
  <c r="I15" i="1"/>
  <c r="E30" i="6" s="1"/>
  <c r="I17" i="1"/>
  <c r="E32" i="6" s="1"/>
  <c r="K15" i="1"/>
  <c r="K14" i="1"/>
  <c r="G29" i="6" s="1"/>
  <c r="K17" i="1"/>
  <c r="G32" i="6" s="1"/>
  <c r="K3" i="3" l="1"/>
  <c r="E4" i="3"/>
  <c r="E5" i="3" s="1"/>
  <c r="F5" i="3" s="1"/>
  <c r="K16" i="1" a="1"/>
  <c r="K16" i="1" s="1"/>
  <c r="G31" i="6" s="1"/>
  <c r="G30" i="6"/>
  <c r="F4" i="3" l="1"/>
  <c r="K4" i="3" s="1"/>
  <c r="E6" i="3"/>
  <c r="F6" i="3" s="1"/>
  <c r="L5" i="3"/>
  <c r="K5" i="3"/>
  <c r="E7" i="3" l="1"/>
  <c r="E8" i="3" s="1"/>
  <c r="L4" i="3"/>
  <c r="K6" i="3"/>
  <c r="L6" i="3"/>
  <c r="F7" i="3" l="1"/>
  <c r="K7" i="3" s="1"/>
  <c r="F8" i="3"/>
  <c r="E9" i="3"/>
  <c r="L7" i="3" l="1"/>
  <c r="E10" i="3"/>
  <c r="F9" i="3"/>
  <c r="L8" i="3"/>
  <c r="K8" i="3"/>
  <c r="K9" i="3" l="1"/>
  <c r="L9" i="3"/>
  <c r="F10" i="3"/>
  <c r="E11" i="3"/>
  <c r="E12" i="3" l="1"/>
  <c r="F11" i="3"/>
  <c r="L10" i="3"/>
  <c r="K10" i="3"/>
  <c r="K11" i="3" l="1"/>
  <c r="L11" i="3"/>
  <c r="E13" i="3"/>
  <c r="F12" i="3"/>
  <c r="L12" i="3" l="1"/>
  <c r="K12" i="3"/>
  <c r="E14" i="3"/>
  <c r="F13" i="3"/>
  <c r="L13" i="3" l="1"/>
  <c r="K13" i="3"/>
  <c r="F14" i="3"/>
  <c r="E15" i="3"/>
  <c r="F15" i="3" l="1"/>
  <c r="E16" i="3"/>
  <c r="K14" i="3"/>
  <c r="L14" i="3"/>
  <c r="F16" i="3" l="1"/>
  <c r="E17" i="3"/>
  <c r="K15" i="3"/>
  <c r="L15" i="3"/>
  <c r="E18" i="3" l="1"/>
  <c r="F17" i="3"/>
  <c r="L16" i="3"/>
  <c r="K16" i="3"/>
  <c r="L17" i="3" l="1"/>
  <c r="K17" i="3"/>
  <c r="F18" i="3"/>
  <c r="E19" i="3"/>
  <c r="F19" i="3" l="1"/>
  <c r="E20" i="3"/>
  <c r="L18" i="3"/>
  <c r="K18" i="3"/>
  <c r="E21" i="3" l="1"/>
  <c r="F20" i="3"/>
  <c r="K19" i="3"/>
  <c r="L19" i="3"/>
  <c r="L20" i="3" l="1"/>
  <c r="K20" i="3"/>
  <c r="F21" i="3"/>
  <c r="E22" i="3"/>
  <c r="L21" i="3" l="1"/>
  <c r="K21" i="3"/>
  <c r="E23" i="3"/>
  <c r="F22" i="3"/>
  <c r="E24" i="3" l="1"/>
  <c r="F23" i="3"/>
  <c r="L22" i="3"/>
  <c r="K22" i="3"/>
  <c r="K23" i="3" l="1"/>
  <c r="L23" i="3"/>
  <c r="E25" i="3"/>
  <c r="F24" i="3"/>
  <c r="K24" i="3" l="1"/>
  <c r="L24" i="3"/>
  <c r="E26" i="3"/>
  <c r="F25" i="3"/>
  <c r="K25" i="3" l="1"/>
  <c r="L25" i="3"/>
  <c r="F26" i="3"/>
  <c r="E27" i="3"/>
  <c r="F27" i="3" l="1"/>
  <c r="E28" i="3"/>
  <c r="K26" i="3"/>
  <c r="L26" i="3"/>
  <c r="E29" i="3" l="1"/>
  <c r="F28" i="3"/>
  <c r="K27" i="3"/>
  <c r="L27" i="3"/>
  <c r="K28" i="3" l="1"/>
  <c r="L28" i="3"/>
  <c r="E30" i="3"/>
  <c r="F29" i="3"/>
  <c r="K29" i="3" l="1"/>
  <c r="L29" i="3"/>
  <c r="E31" i="3"/>
  <c r="F30" i="3"/>
  <c r="K30" i="3" l="1"/>
  <c r="L30" i="3"/>
  <c r="F31" i="3"/>
  <c r="E32" i="3"/>
  <c r="F32" i="3" l="1"/>
  <c r="E33" i="3"/>
  <c r="K31" i="3"/>
  <c r="L31" i="3"/>
  <c r="E34" i="3" l="1"/>
  <c r="F33" i="3"/>
  <c r="K32" i="3"/>
  <c r="L32" i="3"/>
  <c r="L33" i="3" l="1"/>
  <c r="K33" i="3"/>
  <c r="F34" i="3"/>
  <c r="E35" i="3"/>
  <c r="L34" i="3" l="1"/>
  <c r="K34" i="3"/>
  <c r="F35" i="3"/>
  <c r="E36" i="3"/>
  <c r="K35" i="3" l="1"/>
  <c r="L35" i="3"/>
  <c r="E37" i="3"/>
  <c r="F36" i="3"/>
  <c r="L36" i="3" l="1"/>
  <c r="K36" i="3"/>
  <c r="F37" i="3"/>
  <c r="E38" i="3"/>
  <c r="E39" i="3" l="1"/>
  <c r="F38" i="3"/>
  <c r="L37" i="3"/>
  <c r="K37" i="3"/>
  <c r="L38" i="3" l="1"/>
  <c r="K38" i="3"/>
  <c r="F39" i="3"/>
  <c r="E40" i="3"/>
  <c r="E41" i="3" l="1"/>
  <c r="F40" i="3"/>
  <c r="L39" i="3"/>
  <c r="K39" i="3"/>
  <c r="L40" i="3" l="1"/>
  <c r="K40" i="3"/>
  <c r="E42" i="3"/>
  <c r="F41" i="3"/>
  <c r="L41" i="3" l="1"/>
  <c r="K41" i="3"/>
  <c r="E43" i="3"/>
  <c r="F42" i="3"/>
  <c r="F43" i="3" l="1"/>
  <c r="E44" i="3"/>
  <c r="K42" i="3"/>
  <c r="L42" i="3"/>
  <c r="E45" i="3" l="1"/>
  <c r="F44" i="3"/>
  <c r="K43" i="3"/>
  <c r="L43" i="3"/>
  <c r="K44" i="3" l="1"/>
  <c r="L44" i="3"/>
  <c r="F45" i="3"/>
  <c r="E46" i="3"/>
  <c r="F46" i="3" l="1"/>
  <c r="E47" i="3"/>
  <c r="L45" i="3"/>
  <c r="K45" i="3"/>
  <c r="E48" i="3" l="1"/>
  <c r="F47" i="3"/>
  <c r="L46" i="3"/>
  <c r="K46" i="3"/>
  <c r="K47" i="3" l="1"/>
  <c r="L47" i="3"/>
  <c r="F48" i="3"/>
  <c r="E49" i="3"/>
  <c r="L48" i="3" l="1"/>
  <c r="K48" i="3"/>
  <c r="E50" i="3"/>
  <c r="F49" i="3"/>
  <c r="K49" i="3" l="1"/>
  <c r="L49" i="3"/>
  <c r="E51" i="3"/>
  <c r="F50" i="3"/>
  <c r="K50" i="3" l="1"/>
  <c r="L50" i="3"/>
  <c r="F51" i="3"/>
  <c r="E52" i="3"/>
  <c r="F52" i="3" l="1"/>
  <c r="E53" i="3"/>
  <c r="L51" i="3"/>
  <c r="K51" i="3"/>
  <c r="F53" i="3" l="1"/>
  <c r="E54" i="3"/>
  <c r="K52" i="3"/>
  <c r="L52" i="3"/>
  <c r="F54" i="3" l="1"/>
  <c r="E55" i="3"/>
  <c r="L53" i="3"/>
  <c r="K53" i="3"/>
  <c r="F55" i="3" l="1"/>
  <c r="E56" i="3"/>
  <c r="L54" i="3"/>
  <c r="K54" i="3"/>
  <c r="F56" i="3" l="1"/>
  <c r="E57" i="3"/>
  <c r="K55" i="3"/>
  <c r="L55" i="3"/>
  <c r="F57" i="3" l="1"/>
  <c r="E58" i="3"/>
  <c r="L56" i="3"/>
  <c r="K56" i="3"/>
  <c r="F58" i="3" l="1"/>
  <c r="E59" i="3"/>
  <c r="L57" i="3"/>
  <c r="K57" i="3"/>
  <c r="E60" i="3" l="1"/>
  <c r="F59" i="3"/>
  <c r="K58" i="3"/>
  <c r="L58" i="3"/>
  <c r="K59" i="3" l="1"/>
  <c r="L59" i="3"/>
  <c r="F60" i="3"/>
  <c r="E61" i="3"/>
  <c r="E62" i="3" l="1"/>
  <c r="F61" i="3"/>
  <c r="K60" i="3"/>
  <c r="L60" i="3"/>
  <c r="K61" i="3" l="1"/>
  <c r="L61" i="3"/>
  <c r="E63" i="3"/>
  <c r="F62" i="3"/>
  <c r="K62" i="3" l="1"/>
  <c r="L62" i="3"/>
  <c r="E64" i="3"/>
  <c r="F63" i="3"/>
  <c r="E65" i="3" l="1"/>
  <c r="F64" i="3"/>
  <c r="K63" i="3"/>
  <c r="L63" i="3"/>
  <c r="K64" i="3" l="1"/>
  <c r="L64" i="3"/>
  <c r="F65" i="3"/>
  <c r="E66" i="3"/>
  <c r="F66" i="3" l="1"/>
  <c r="E67" i="3"/>
  <c r="L65" i="3"/>
  <c r="K65" i="3"/>
  <c r="F67" i="3" l="1"/>
  <c r="E68" i="3"/>
  <c r="L66" i="3"/>
  <c r="K66" i="3"/>
  <c r="F68" i="3" l="1"/>
  <c r="E69" i="3"/>
  <c r="K67" i="3"/>
  <c r="L67" i="3"/>
  <c r="F69" i="3" l="1"/>
  <c r="E70" i="3"/>
  <c r="L68" i="3"/>
  <c r="K68" i="3"/>
  <c r="E71" i="3" l="1"/>
  <c r="F70" i="3"/>
  <c r="K69" i="3"/>
  <c r="L69" i="3"/>
  <c r="K70" i="3" l="1"/>
  <c r="L70" i="3"/>
  <c r="F71" i="3"/>
  <c r="E72" i="3"/>
  <c r="L71" i="3" l="1"/>
  <c r="K71" i="3"/>
  <c r="F72" i="3"/>
  <c r="E73" i="3"/>
  <c r="K72" i="3" l="1"/>
  <c r="L72" i="3"/>
  <c r="F73" i="3"/>
  <c r="E74" i="3"/>
  <c r="E75" i="3" l="1"/>
  <c r="F74" i="3"/>
  <c r="L73" i="3"/>
  <c r="K73" i="3"/>
  <c r="L74" i="3" l="1"/>
  <c r="K74" i="3"/>
  <c r="F75" i="3"/>
  <c r="E76" i="3"/>
  <c r="K75" i="3" l="1"/>
  <c r="L75" i="3"/>
  <c r="F76" i="3"/>
  <c r="E77" i="3"/>
  <c r="F77" i="3" l="1"/>
  <c r="E78" i="3"/>
  <c r="L76" i="3"/>
  <c r="K76" i="3"/>
  <c r="E79" i="3" l="1"/>
  <c r="F78" i="3"/>
  <c r="K77" i="3"/>
  <c r="L77" i="3"/>
  <c r="K78" i="3" l="1"/>
  <c r="L78" i="3"/>
  <c r="F79" i="3"/>
  <c r="E80" i="3"/>
  <c r="F80" i="3" l="1"/>
  <c r="E81" i="3"/>
  <c r="L79" i="3"/>
  <c r="K79" i="3"/>
  <c r="E82" i="3" l="1"/>
  <c r="F81" i="3"/>
  <c r="L80" i="3"/>
  <c r="K80" i="3"/>
  <c r="K81" i="3" l="1"/>
  <c r="L81" i="3"/>
  <c r="F82" i="3"/>
  <c r="E83" i="3"/>
  <c r="E84" i="3" l="1"/>
  <c r="F83" i="3"/>
  <c r="L82" i="3"/>
  <c r="K82" i="3"/>
  <c r="L83" i="3" l="1"/>
  <c r="K83" i="3"/>
  <c r="F84" i="3"/>
  <c r="E85" i="3"/>
  <c r="E86" i="3" l="1"/>
  <c r="F85" i="3"/>
  <c r="K84" i="3"/>
  <c r="L84" i="3"/>
  <c r="K85" i="3" l="1"/>
  <c r="L85" i="3"/>
  <c r="E87" i="3"/>
  <c r="F86" i="3"/>
  <c r="L86" i="3" l="1"/>
  <c r="K86" i="3"/>
  <c r="F87" i="3"/>
  <c r="E88" i="3"/>
  <c r="F88" i="3" l="1"/>
  <c r="E89" i="3"/>
  <c r="L87" i="3"/>
  <c r="K87" i="3"/>
  <c r="E90" i="3" l="1"/>
  <c r="F89" i="3"/>
  <c r="L88" i="3"/>
  <c r="K88" i="3"/>
  <c r="K89" i="3" l="1"/>
  <c r="L89" i="3"/>
  <c r="F90" i="3"/>
  <c r="E91" i="3"/>
  <c r="K90" i="3" l="1"/>
  <c r="L90" i="3"/>
  <c r="E92" i="3"/>
  <c r="F91" i="3"/>
  <c r="L91" i="3" l="1"/>
  <c r="K91" i="3"/>
  <c r="F92" i="3"/>
  <c r="E93" i="3"/>
  <c r="L92" i="3" l="1"/>
  <c r="K92" i="3"/>
  <c r="E94" i="3"/>
  <c r="F93" i="3"/>
  <c r="K93" i="3" l="1"/>
  <c r="L93" i="3"/>
  <c r="F94" i="3"/>
  <c r="E95" i="3"/>
  <c r="E96" i="3" l="1"/>
  <c r="F95" i="3"/>
  <c r="L94" i="3"/>
  <c r="K94" i="3"/>
  <c r="L95" i="3" l="1"/>
  <c r="K95" i="3"/>
  <c r="E97" i="3"/>
  <c r="F96" i="3"/>
  <c r="K96" i="3" l="1"/>
  <c r="L96" i="3"/>
  <c r="E98" i="3"/>
  <c r="F97" i="3"/>
  <c r="K97" i="3" l="1"/>
  <c r="L97" i="3"/>
  <c r="E99" i="3"/>
  <c r="F98" i="3"/>
  <c r="K98" i="3" l="1"/>
  <c r="L98" i="3"/>
  <c r="E100" i="3"/>
  <c r="F99" i="3"/>
  <c r="L99" i="3" l="1"/>
  <c r="K99" i="3"/>
  <c r="F100" i="3"/>
  <c r="E101" i="3"/>
  <c r="K100" i="3" l="1"/>
  <c r="L100" i="3"/>
  <c r="F101" i="3"/>
  <c r="E102" i="3"/>
  <c r="F102" i="3" l="1"/>
  <c r="E103" i="3"/>
  <c r="L101" i="3"/>
  <c r="K101" i="3"/>
  <c r="E104" i="3" l="1"/>
  <c r="F103" i="3"/>
  <c r="L102" i="3"/>
  <c r="K102" i="3"/>
  <c r="L103" i="3" l="1"/>
  <c r="K103" i="3"/>
  <c r="E105" i="3"/>
  <c r="F104" i="3"/>
  <c r="F105" i="3" l="1"/>
  <c r="E106" i="3"/>
  <c r="L104" i="3"/>
  <c r="K104" i="3"/>
  <c r="E107" i="3" l="1"/>
  <c r="F106" i="3"/>
  <c r="K105" i="3"/>
  <c r="L105" i="3"/>
  <c r="L106" i="3" l="1"/>
  <c r="K106" i="3"/>
  <c r="E108" i="3"/>
  <c r="F107" i="3"/>
  <c r="K107" i="3" l="1"/>
  <c r="L107" i="3"/>
  <c r="F108" i="3"/>
  <c r="E109" i="3"/>
  <c r="K108" i="3" l="1"/>
  <c r="L108" i="3"/>
  <c r="F109" i="3"/>
  <c r="E110" i="3"/>
  <c r="E111" i="3" l="1"/>
  <c r="F110" i="3"/>
  <c r="K109" i="3"/>
  <c r="L109" i="3"/>
  <c r="K110" i="3" l="1"/>
  <c r="L110" i="3"/>
  <c r="E112" i="3"/>
  <c r="F111" i="3"/>
  <c r="L111" i="3" l="1"/>
  <c r="K111" i="3"/>
  <c r="E113" i="3"/>
  <c r="F112" i="3"/>
  <c r="E114" i="3" l="1"/>
  <c r="F113" i="3"/>
  <c r="K112" i="3"/>
  <c r="L112" i="3"/>
  <c r="L113" i="3" l="1"/>
  <c r="K113" i="3"/>
  <c r="F114" i="3"/>
  <c r="E115" i="3"/>
  <c r="F115" i="3" l="1"/>
  <c r="E116" i="3"/>
  <c r="L114" i="3"/>
  <c r="K114" i="3"/>
  <c r="F116" i="3" l="1"/>
  <c r="E117" i="3"/>
  <c r="L115" i="3"/>
  <c r="K115" i="3"/>
  <c r="E118" i="3" l="1"/>
  <c r="F117" i="3"/>
  <c r="K116" i="3"/>
  <c r="L116" i="3"/>
  <c r="L117" i="3" l="1"/>
  <c r="K117" i="3"/>
  <c r="E119" i="3"/>
  <c r="F118" i="3"/>
  <c r="E120" i="3" l="1"/>
  <c r="F119" i="3"/>
  <c r="K118" i="3"/>
  <c r="L118" i="3"/>
  <c r="K119" i="3" l="1"/>
  <c r="L119" i="3"/>
  <c r="E121" i="3"/>
  <c r="F121" i="3" s="1"/>
  <c r="K121" i="3" s="1"/>
  <c r="F120" i="3"/>
  <c r="L120" i="3" l="1"/>
  <c r="K120" i="3"/>
  <c r="L12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<sst xmlns="http://schemas.openxmlformats.org/spreadsheetml/2006/main" count="283" uniqueCount="133">
  <si>
    <t>DB PENSION PLAN FUNDING SIMULATOR</t>
  </si>
  <si>
    <t>NOTES</t>
  </si>
  <si>
    <t>Data presented over a 12 year period with entries removed where any data is missing.</t>
  </si>
  <si>
    <t>Returns series are monthly and dividend-adjusted, where applicable.</t>
  </si>
  <si>
    <t>Index proxies for asset classes are indicated in italics.</t>
  </si>
  <si>
    <t>Using PPF Purple Book 2025 data with approximate average 2025 pension fund allocations as default. Annuities treated as long term bonds.</t>
  </si>
  <si>
    <t>Unsmoothing of private asset classes using U_t = (S_t - a*S_(t-1))/(1-a) as per Geltner (1993).</t>
  </si>
  <si>
    <t>0 &lt; a &lt; 1 with a = 0 =&gt; no smoothing/unsmoothing, a = 1 =&gt; maximal smoothing/unsmoothing.</t>
  </si>
  <si>
    <t>Suggested values: a = 0.6 for PD unsmoothing of ETF proxy, then a = 0.2 for PE, real estate and hedge fund smoothing of ETF proxies (PE/REIT/HF funds have more frequent reporting than underlying investments).</t>
  </si>
  <si>
    <t>Hedge fund returns modelled as GBP hedged liquid alt with smoothing (due to lack of empirical data).</t>
  </si>
  <si>
    <t>GELTNER (UN)SMOOTHING</t>
  </si>
  <si>
    <t>MONTHLY PORTFOLIO STATISTICS</t>
  </si>
  <si>
    <t>PD Unsmoothing: a =</t>
  </si>
  <si>
    <t>Beginning Plan Assets (£m):</t>
  </si>
  <si>
    <t>FR Mean Change:</t>
  </si>
  <si>
    <t>PE Smoothing: a =</t>
  </si>
  <si>
    <t>Beginning Plan Liabilities (£m):</t>
  </si>
  <si>
    <t>REIT Smoothing: a =</t>
  </si>
  <si>
    <t xml:space="preserve">Confidence Level: P = </t>
  </si>
  <si>
    <t>HF Smoothing: a =</t>
  </si>
  <si>
    <t>Beginning Funding Ratio:</t>
  </si>
  <si>
    <t>CASH</t>
  </si>
  <si>
    <t>BONDS</t>
  </si>
  <si>
    <t>EQUITIES</t>
  </si>
  <si>
    <t>ALTERNATIVES</t>
  </si>
  <si>
    <t>LIABILITIES</t>
  </si>
  <si>
    <t>FUNDING RATIO</t>
  </si>
  <si>
    <t>FUNDING SURPLUS/DEFICIT</t>
  </si>
  <si>
    <t>Cash</t>
  </si>
  <si>
    <t>Short Gilts</t>
  </si>
  <si>
    <t>Medium Gilts</t>
  </si>
  <si>
    <t>Long Gilts</t>
  </si>
  <si>
    <t>Corporate Bonds</t>
  </si>
  <si>
    <t>Private Debt</t>
  </si>
  <si>
    <t>Short IL</t>
  </si>
  <si>
    <t>Medium IL</t>
  </si>
  <si>
    <t>Long IL</t>
  </si>
  <si>
    <t>UK Equity</t>
  </si>
  <si>
    <t>World Equity</t>
  </si>
  <si>
    <t>Private Equity</t>
  </si>
  <si>
    <t>Real Estate</t>
  </si>
  <si>
    <t>Hedge Funds</t>
  </si>
  <si>
    <t>Sum</t>
  </si>
  <si>
    <t>Assets / Liabilities</t>
  </si>
  <si>
    <t>Assets - Liabilities</t>
  </si>
  <si>
    <t>Allocations:</t>
  </si>
  <si>
    <t>Date</t>
  </si>
  <si>
    <t>Average SONIA (%)</t>
  </si>
  <si>
    <t>BoE 3Y Spot (%)</t>
  </si>
  <si>
    <t>BoE 10Y Spot (%)</t>
  </si>
  <si>
    <t>BoE 20Y Spot (%)</t>
  </si>
  <si>
    <t>iShares Core £ Corp Bond (SLXX) (%)</t>
  </si>
  <si>
    <t>iShares Global HY Corp Bond ETF GBP Hedged (GHYS.L) (%)</t>
  </si>
  <si>
    <t>GHYS.L unsmoothed (%)</t>
  </si>
  <si>
    <t>BoE 3Y implied real spot (%)</t>
  </si>
  <si>
    <t>BoE 10Y implied real spot (%)</t>
  </si>
  <si>
    <t>BoE 20Y implied real spot (%)</t>
  </si>
  <si>
    <t>iShares Core FTSE 100 UCITS ETF (CUKX) (%)</t>
  </si>
  <si>
    <t>iShares MSCI World UCITS ETF (SWDA) (%)</t>
  </si>
  <si>
    <t>iShares Listed Private Equity UCITS ETF (IPRV) (%)</t>
  </si>
  <si>
    <t>IPRV smoothed (%)</t>
  </si>
  <si>
    <t xml:space="preserve"> iShares UK Property UCITS ETF (IUKP.L) (%)</t>
  </si>
  <si>
    <t>IUKP smoothed (%)</t>
  </si>
  <si>
    <t>IQ Hedge Multi-Strategy Tracker (QAI) (%)</t>
  </si>
  <si>
    <t>QAI smoothed (%)</t>
  </si>
  <si>
    <t>Effective Federal Funds Rate (monthly) (%)</t>
  </si>
  <si>
    <t>SONIA - EFFR (%)</t>
  </si>
  <si>
    <t>QAI + SONIA - EFFR (%)</t>
  </si>
  <si>
    <t>Monthly Portfolio Returns (%)</t>
  </si>
  <si>
    <t>Monthly Liability Changes (%)</t>
  </si>
  <si>
    <t>Monthly FR Changes (%)</t>
  </si>
  <si>
    <t>Monthly FS Changes (assuming starting A &amp; L values) (£m)</t>
  </si>
  <si>
    <t>Random Row</t>
  </si>
  <si>
    <t>Multipliers</t>
  </si>
  <si>
    <t>Cumulative Multipliers</t>
  </si>
  <si>
    <t>Plan Assets (£m)</t>
  </si>
  <si>
    <t>Plan Liabilities (£m)</t>
  </si>
  <si>
    <t>Funding Ratio</t>
  </si>
  <si>
    <t>Sim No.</t>
  </si>
  <si>
    <t>10Y FR</t>
  </si>
  <si>
    <t>10Y FS/D</t>
  </si>
  <si>
    <t>Of Which</t>
  </si>
  <si>
    <t>Asset Class</t>
  </si>
  <si>
    <t>Overall Weight</t>
  </si>
  <si>
    <t>And</t>
  </si>
  <si>
    <t>Gilts</t>
  </si>
  <si>
    <t>Short</t>
  </si>
  <si>
    <t>Medium</t>
  </si>
  <si>
    <t>Long</t>
  </si>
  <si>
    <t>UK</t>
  </si>
  <si>
    <t>World</t>
  </si>
  <si>
    <t>Private</t>
  </si>
  <si>
    <t>Corporate</t>
  </si>
  <si>
    <t>IL</t>
  </si>
  <si>
    <t>REAL ESTATE</t>
  </si>
  <si>
    <t>HEDGE FUNDS</t>
  </si>
  <si>
    <t>Individual Weight</t>
  </si>
  <si>
    <t>Subclass</t>
  </si>
  <si>
    <t>UK Equities</t>
  </si>
  <si>
    <t>World Equities</t>
  </si>
  <si>
    <t>Private Equities</t>
  </si>
  <si>
    <t>Sum:</t>
  </si>
  <si>
    <t>Weight Within</t>
  </si>
  <si>
    <t>Insurance policies, "other investments" and "miscellaneous" categories ignored then weights for other asset classes rescaled in final calculation.</t>
  </si>
  <si>
    <t>Asset class and subclass weightings treated as independent for simplicity (and lack of consistent granular data).</t>
  </si>
  <si>
    <t>Allocations to various bond maturities in 2011 assumed to be the same as 2025 due to lack of data.</t>
  </si>
  <si>
    <t>Tier 1 data (where no breakdown into subclass weightings available) ignored then weights rescaled afterwards.</t>
  </si>
  <si>
    <t>"Diversified growth funds" and "absolute returns" both combined as hedge funds from PPF Purple Book 2025.</t>
  </si>
  <si>
    <t>Adjusted (Sum to 1)</t>
  </si>
  <si>
    <t>PLAN ASSETS</t>
  </si>
  <si>
    <t>PLAN LIABILITIES</t>
  </si>
  <si>
    <t>ASSETS PRESET</t>
  </si>
  <si>
    <t>LIABILITIES PRESET</t>
  </si>
  <si>
    <t>INPUT CELLS IN GOLD (FOR MANUAL ENTRY)</t>
  </si>
  <si>
    <t>FS Mean Change (£m):</t>
  </si>
  <si>
    <t>FS 100P% VaR (£m):</t>
  </si>
  <si>
    <t>FS 100P% CVaR (£m):</t>
  </si>
  <si>
    <t>FS Max Drawdown (£m):</t>
  </si>
  <si>
    <t>FR SD:</t>
  </si>
  <si>
    <t>FR Skew:</t>
  </si>
  <si>
    <t>FR Kurtosis:</t>
  </si>
  <si>
    <t>Year</t>
  </si>
  <si>
    <t>Total Assets (s179, £m)</t>
  </si>
  <si>
    <t>Total Liabilities (s179, £m)</t>
  </si>
  <si>
    <t>Number of Funds</t>
  </si>
  <si>
    <t>Average Assets (£m)</t>
  </si>
  <si>
    <t>Average Liabilities (£m)</t>
  </si>
  <si>
    <t>2025 OVERMATURE PLAN</t>
  </si>
  <si>
    <t>FR</t>
  </si>
  <si>
    <t>95% FS Monthly VaR (£m, per £1m Liabilities)</t>
  </si>
  <si>
    <t>95% FS Monthly CVaR (£m, per £1m Liabilities)</t>
  </si>
  <si>
    <t>Pension liabiilties are modelled as a mix of long term nominal and inflation linked bonds and using PPF Purple Book 2025 scheme membership data, taking active member/deferred/pensioner = long/medium/short term bonds, respectively.</t>
  </si>
  <si>
    <t>Funding Surplus/Deficit (£m)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</si>
</sst>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[$-409]mmm\-yy;@"/>
    <numFmt numFmtId="166" formatCode="0.0"/>
    <numFmt numFmtId="167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i/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rgb="FF242424"/>
      <name val="Aptos Narrow"/>
    </font>
    <font>
      <i/>
      <sz val="11"/>
      <color rgb="FF242424"/>
      <name val="Calibri"/>
      <family val="2"/>
    </font>
    <font>
      <sz val="11"/>
      <color theme="1"/>
      <name val="Calibri"/>
      <family val="2"/>
    </font>
    <font>
      <b/>
      <sz val="11"/>
      <color rgb="FF242424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2"/>
      <color theme="7"/>
      <name val="Calibri"/>
      <family val="2"/>
    </font>
    <font>
      <b/>
      <sz val="12"/>
      <color rgb="FFFFC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10">
    <xf numFmtId="0" fontId="0" fillId="0" borderId="0" xfId="0"/>
    <xf numFmtId="0" fontId="1" fillId="0" borderId="0" xfId="0" applyFont="1"/>
    <xf numFmtId="17" fontId="3" fillId="0" borderId="0" xfId="0" applyNumberFormat="1" applyFont="1"/>
    <xf numFmtId="2" fontId="0" fillId="0" borderId="0" xfId="0" applyNumberFormat="1"/>
    <xf numFmtId="164" fontId="0" fillId="0" borderId="0" xfId="0" applyNumberFormat="1"/>
    <xf numFmtId="164" fontId="3" fillId="0" borderId="0" xfId="0" applyNumberFormat="1" applyFont="1"/>
    <xf numFmtId="0" fontId="6" fillId="0" borderId="0" xfId="0" applyFont="1"/>
    <xf numFmtId="164" fontId="7" fillId="0" borderId="0" xfId="0" applyNumberFormat="1" applyFont="1"/>
    <xf numFmtId="0" fontId="8" fillId="0" borderId="0" xfId="0" applyFont="1"/>
    <xf numFmtId="0" fontId="2" fillId="0" borderId="1" xfId="0" applyFont="1" applyBorder="1" applyAlignment="1">
      <alignment wrapText="1"/>
    </xf>
    <xf numFmtId="0" fontId="0" fillId="0" borderId="2" xfId="0" applyBorder="1" applyAlignment="1">
      <alignment wrapText="1"/>
    </xf>
    <xf numFmtId="0" fontId="2" fillId="0" borderId="2" xfId="0" applyFont="1" applyBorder="1" applyAlignment="1">
      <alignment wrapText="1"/>
    </xf>
    <xf numFmtId="164" fontId="2" fillId="0" borderId="2" xfId="0" applyNumberFormat="1" applyFont="1" applyBorder="1" applyAlignment="1">
      <alignment wrapText="1"/>
    </xf>
    <xf numFmtId="0" fontId="2" fillId="0" borderId="3" xfId="0" applyFont="1" applyBorder="1" applyAlignment="1">
      <alignment wrapText="1"/>
    </xf>
    <xf numFmtId="2" fontId="2" fillId="0" borderId="6" xfId="0" applyNumberFormat="1" applyFont="1" applyBorder="1" applyAlignment="1">
      <alignment wrapText="1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2" fillId="0" borderId="1" xfId="0" applyNumberFormat="1" applyFont="1" applyBorder="1" applyAlignment="1">
      <alignment wrapText="1"/>
    </xf>
    <xf numFmtId="164" fontId="2" fillId="0" borderId="3" xfId="0" applyNumberFormat="1" applyFont="1" applyBorder="1" applyAlignment="1">
      <alignment wrapText="1"/>
    </xf>
    <xf numFmtId="164" fontId="7" fillId="0" borderId="9" xfId="0" applyNumberFormat="1" applyFont="1" applyBorder="1"/>
    <xf numFmtId="164" fontId="7" fillId="0" borderId="11" xfId="0" applyNumberFormat="1" applyFont="1" applyBorder="1"/>
    <xf numFmtId="17" fontId="10" fillId="0" borderId="0" xfId="0" applyNumberFormat="1" applyFont="1"/>
    <xf numFmtId="164" fontId="10" fillId="0" borderId="5" xfId="0" applyNumberFormat="1" applyFont="1" applyBorder="1"/>
    <xf numFmtId="164" fontId="10" fillId="0" borderId="7" xfId="0" applyNumberFormat="1" applyFont="1" applyBorder="1"/>
    <xf numFmtId="2" fontId="5" fillId="0" borderId="5" xfId="0" applyNumberFormat="1" applyFont="1" applyBorder="1"/>
    <xf numFmtId="2" fontId="5" fillId="0" borderId="7" xfId="0" applyNumberFormat="1" applyFont="1" applyBorder="1"/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/>
    <xf numFmtId="0" fontId="1" fillId="0" borderId="6" xfId="0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1" fillId="0" borderId="6" xfId="0" applyNumberFormat="1" applyFont="1" applyBorder="1"/>
    <xf numFmtId="164" fontId="1" fillId="0" borderId="0" xfId="0" applyNumberFormat="1" applyFont="1"/>
    <xf numFmtId="0" fontId="1" fillId="0" borderId="0" xfId="0" applyFont="1" applyAlignment="1">
      <alignment horizontal="center" vertical="top"/>
    </xf>
    <xf numFmtId="164" fontId="1" fillId="0" borderId="5" xfId="0" applyNumberFormat="1" applyFont="1" applyBorder="1"/>
    <xf numFmtId="164" fontId="1" fillId="0" borderId="7" xfId="0" applyNumberFormat="1" applyFont="1" applyBorder="1"/>
    <xf numFmtId="0" fontId="0" fillId="0" borderId="9" xfId="0" applyBorder="1"/>
    <xf numFmtId="0" fontId="5" fillId="0" borderId="0" xfId="0" applyFont="1" applyAlignment="1">
      <alignment wrapText="1"/>
    </xf>
    <xf numFmtId="0" fontId="5" fillId="0" borderId="6" xfId="0" applyFont="1" applyBorder="1" applyAlignment="1">
      <alignment wrapText="1"/>
    </xf>
    <xf numFmtId="164" fontId="1" fillId="0" borderId="14" xfId="0" applyNumberFormat="1" applyFont="1" applyBorder="1"/>
    <xf numFmtId="164" fontId="1" fillId="0" borderId="9" xfId="0" applyNumberFormat="1" applyFont="1" applyBorder="1"/>
    <xf numFmtId="0" fontId="0" fillId="0" borderId="11" xfId="0" applyBorder="1"/>
    <xf numFmtId="164" fontId="5" fillId="0" borderId="14" xfId="0" applyNumberFormat="1" applyFont="1" applyBorder="1"/>
    <xf numFmtId="0" fontId="5" fillId="0" borderId="9" xfId="0" applyFont="1" applyBorder="1"/>
    <xf numFmtId="164" fontId="5" fillId="0" borderId="9" xfId="0" applyNumberFormat="1" applyFont="1" applyBorder="1"/>
    <xf numFmtId="0" fontId="5" fillId="0" borderId="11" xfId="0" applyFont="1" applyBorder="1"/>
    <xf numFmtId="164" fontId="1" fillId="0" borderId="11" xfId="0" applyNumberFormat="1" applyFont="1" applyBorder="1"/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wrapText="1"/>
    </xf>
    <xf numFmtId="164" fontId="0" fillId="0" borderId="2" xfId="0" applyNumberFormat="1" applyBorder="1"/>
    <xf numFmtId="164" fontId="0" fillId="0" borderId="2" xfId="0" applyNumberFormat="1" applyBorder="1" applyAlignment="1">
      <alignment wrapText="1"/>
    </xf>
    <xf numFmtId="165" fontId="5" fillId="0" borderId="1" xfId="0" applyNumberFormat="1" applyFont="1" applyBorder="1"/>
    <xf numFmtId="0" fontId="5" fillId="0" borderId="1" xfId="0" applyFont="1" applyBorder="1"/>
    <xf numFmtId="165" fontId="0" fillId="0" borderId="9" xfId="0" applyNumberFormat="1" applyBorder="1"/>
    <xf numFmtId="164" fontId="1" fillId="0" borderId="6" xfId="0" applyNumberFormat="1" applyFont="1" applyBorder="1" applyAlignment="1">
      <alignment wrapText="1"/>
    </xf>
    <xf numFmtId="166" fontId="0" fillId="0" borderId="5" xfId="0" applyNumberFormat="1" applyBorder="1"/>
    <xf numFmtId="2" fontId="1" fillId="0" borderId="11" xfId="0" applyNumberFormat="1" applyFont="1" applyBorder="1"/>
    <xf numFmtId="1" fontId="0" fillId="0" borderId="9" xfId="0" applyNumberFormat="1" applyBorder="1"/>
    <xf numFmtId="1" fontId="1" fillId="0" borderId="1" xfId="0" applyNumberFormat="1" applyFont="1" applyBorder="1"/>
    <xf numFmtId="166" fontId="0" fillId="0" borderId="9" xfId="0" applyNumberFormat="1" applyBorder="1"/>
    <xf numFmtId="2" fontId="0" fillId="0" borderId="9" xfId="0" applyNumberFormat="1" applyBorder="1"/>
    <xf numFmtId="166" fontId="1" fillId="0" borderId="3" xfId="0" applyNumberFormat="1" applyFont="1" applyBorder="1"/>
    <xf numFmtId="0" fontId="1" fillId="0" borderId="12" xfId="0" applyFont="1" applyBorder="1"/>
    <xf numFmtId="166" fontId="1" fillId="0" borderId="11" xfId="0" applyNumberFormat="1" applyFont="1" applyBorder="1"/>
    <xf numFmtId="0" fontId="0" fillId="2" borderId="10" xfId="0" applyFill="1" applyBorder="1"/>
    <xf numFmtId="0" fontId="0" fillId="2" borderId="13" xfId="0" applyFill="1" applyBorder="1"/>
    <xf numFmtId="2" fontId="0" fillId="2" borderId="7" xfId="0" applyNumberFormat="1" applyFill="1" applyBorder="1"/>
    <xf numFmtId="0" fontId="5" fillId="0" borderId="15" xfId="0" applyFont="1" applyBorder="1"/>
    <xf numFmtId="0" fontId="5" fillId="0" borderId="0" xfId="0" applyFont="1"/>
    <xf numFmtId="0" fontId="0" fillId="0" borderId="0" xfId="0" applyAlignment="1">
      <alignment horizontal="center"/>
    </xf>
    <xf numFmtId="164" fontId="5" fillId="0" borderId="25" xfId="0" applyNumberFormat="1" applyFont="1" applyBorder="1" applyAlignment="1">
      <alignment wrapText="1"/>
    </xf>
    <xf numFmtId="164" fontId="0" fillId="0" borderId="26" xfId="0" applyNumberFormat="1" applyBorder="1"/>
    <xf numFmtId="164" fontId="0" fillId="0" borderId="27" xfId="0" applyNumberFormat="1" applyBorder="1"/>
    <xf numFmtId="0" fontId="5" fillId="0" borderId="25" xfId="0" applyFont="1" applyBorder="1" applyAlignment="1">
      <alignment wrapText="1"/>
    </xf>
    <xf numFmtId="0" fontId="0" fillId="0" borderId="27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28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0" fontId="5" fillId="0" borderId="1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7" fontId="0" fillId="0" borderId="16" xfId="0" applyNumberFormat="1" applyBorder="1" applyAlignment="1">
      <alignment horizontal="center"/>
    </xf>
    <xf numFmtId="167" fontId="1" fillId="0" borderId="16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3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/>
    <xf numFmtId="2" fontId="1" fillId="0" borderId="7" xfId="0" applyNumberFormat="1" applyFont="1" applyBorder="1"/>
    <xf numFmtId="2" fontId="1" fillId="0" borderId="16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0" xfId="0" applyNumberFormat="1"/>
    <xf numFmtId="167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6" fontId="1" fillId="0" borderId="4" xfId="0" applyNumberFormat="1" applyFont="1" applyBorder="1"/>
    <xf numFmtId="166" fontId="1" fillId="0" borderId="5" xfId="0" applyNumberFormat="1" applyFont="1" applyBorder="1"/>
    <xf numFmtId="166" fontId="1" fillId="0" borderId="7" xfId="0" applyNumberFormat="1" applyFont="1" applyBorder="1"/>
    <xf numFmtId="166" fontId="1" fillId="0" borderId="4" xfId="0" applyNumberFormat="1" applyFont="1" applyBorder="1" applyAlignment="1">
      <alignment horizontal="center"/>
    </xf>
    <xf numFmtId="166" fontId="0" fillId="2" borderId="4" xfId="0" applyNumberFormat="1" applyFill="1" applyBorder="1"/>
    <xf numFmtId="166" fontId="0" fillId="2" borderId="5" xfId="0" applyNumberFormat="1" applyFill="1" applyBorder="1"/>
    <xf numFmtId="166" fontId="0" fillId="0" borderId="16" xfId="0" applyNumberFormat="1" applyBorder="1" applyAlignment="1">
      <alignment horizontal="center" vertical="center"/>
    </xf>
    <xf numFmtId="166" fontId="0" fillId="0" borderId="27" xfId="0" applyNumberForma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2" fillId="4" borderId="29" xfId="0" applyFont="1" applyFill="1" applyBorder="1" applyAlignment="1">
      <alignment horizontal="center"/>
    </xf>
    <xf numFmtId="0" fontId="12" fillId="4" borderId="31" xfId="0" applyFont="1" applyFill="1" applyBorder="1" applyAlignment="1">
      <alignment horizontal="center"/>
    </xf>
    <xf numFmtId="0" fontId="12" fillId="4" borderId="30" xfId="0" applyFont="1" applyFill="1" applyBorder="1" applyAlignment="1">
      <alignment horizontal="center"/>
    </xf>
    <xf numFmtId="0" fontId="0" fillId="3" borderId="28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2" fontId="12" fillId="4" borderId="29" xfId="0" applyNumberFormat="1" applyFont="1" applyFill="1" applyBorder="1" applyAlignment="1">
      <alignment horizontal="center"/>
    </xf>
    <xf numFmtId="2" fontId="12" fillId="4" borderId="31" xfId="0" applyNumberFormat="1" applyFont="1" applyFill="1" applyBorder="1" applyAlignment="1">
      <alignment horizontal="center"/>
    </xf>
    <xf numFmtId="2" fontId="12" fillId="4" borderId="30" xfId="0" applyNumberFormat="1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2" fontId="1" fillId="0" borderId="29" xfId="0" applyNumberFormat="1" applyFont="1" applyBorder="1" applyAlignment="1">
      <alignment horizontal="center"/>
    </xf>
    <xf numFmtId="2" fontId="1" fillId="0" borderId="31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21" xfId="0" applyNumberFormat="1" applyFont="1" applyBorder="1" applyAlignment="1">
      <alignment horizontal="center"/>
    </xf>
    <xf numFmtId="2" fontId="4" fillId="0" borderId="20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21" xfId="0" applyNumberFormat="1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6" fontId="0" fillId="0" borderId="28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167" fontId="0" fillId="0" borderId="26" xfId="0" applyNumberFormat="1" applyBorder="1" applyAlignment="1">
      <alignment horizontal="center"/>
    </xf>
    <xf numFmtId="167" fontId="0" fillId="0" borderId="27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0" fillId="0" borderId="0" xfId="0" applyBorder="1"/>
    <xf numFmtId="0" fontId="5" fillId="0" borderId="0" xfId="0" applyFont="1" applyBorder="1" applyAlignment="1">
      <alignment horizontal="center"/>
    </xf>
    <xf numFmtId="167" fontId="0" fillId="3" borderId="28" xfId="0" applyNumberFormat="1" applyFill="1" applyBorder="1" applyAlignment="1">
      <alignment horizontal="center" vertical="center"/>
    </xf>
    <xf numFmtId="167" fontId="0" fillId="3" borderId="26" xfId="0" applyNumberFormat="1" applyFill="1" applyBorder="1" applyAlignment="1">
      <alignment horizontal="center" vertical="center"/>
    </xf>
    <xf numFmtId="167" fontId="0" fillId="3" borderId="27" xfId="0" applyNumberFormat="1" applyFill="1" applyBorder="1" applyAlignment="1">
      <alignment horizontal="center" vertical="center"/>
    </xf>
    <xf numFmtId="0" fontId="5" fillId="0" borderId="16" xfId="0" applyFont="1" applyBorder="1" applyAlignment="1">
      <alignment wrapText="1"/>
    </xf>
    <xf numFmtId="164" fontId="1" fillId="0" borderId="26" xfId="0" applyNumberFormat="1" applyFont="1" applyBorder="1"/>
    <xf numFmtId="164" fontId="1" fillId="0" borderId="27" xfId="0" applyNumberFormat="1" applyFont="1" applyBorder="1"/>
    <xf numFmtId="164" fontId="0" fillId="0" borderId="0" xfId="0" applyNumberFormat="1" applyBorder="1"/>
    <xf numFmtId="0" fontId="2" fillId="0" borderId="16" xfId="0" applyFont="1" applyBorder="1" applyAlignment="1">
      <alignment wrapText="1"/>
    </xf>
    <xf numFmtId="167" fontId="0" fillId="0" borderId="14" xfId="0" applyNumberFormat="1" applyBorder="1" applyAlignment="1">
      <alignment horizontal="center"/>
    </xf>
    <xf numFmtId="164" fontId="0" fillId="0" borderId="26" xfId="0" applyNumberFormat="1" applyFont="1" applyBorder="1"/>
    <xf numFmtId="164" fontId="0" fillId="0" borderId="27" xfId="0" applyNumberFormat="1" applyFont="1" applyBorder="1"/>
    <xf numFmtId="0" fontId="2" fillId="0" borderId="32" xfId="0" applyFont="1" applyBorder="1" applyAlignment="1">
      <alignment wrapText="1"/>
    </xf>
    <xf numFmtId="167" fontId="1" fillId="0" borderId="4" xfId="0" applyNumberFormat="1" applyFont="1" applyBorder="1" applyAlignment="1">
      <alignment horizontal="center"/>
    </xf>
    <xf numFmtId="167" fontId="0" fillId="0" borderId="16" xfId="0" applyNumberFormat="1" applyFont="1" applyBorder="1" applyAlignment="1">
      <alignment horizontal="center"/>
    </xf>
  </cellXfs>
  <cellStyles count="1">
    <cellStyle name="Normal" xfId="0" builtinId="0"/>
  </cellStyles>
  <dxfs count="5">
    <dxf>
      <numFmt numFmtId="166" formatCode="0.0"/>
      <border diagonalUp="0" diagonalDown="0">
        <left style="medium">
          <color rgb="FF000000"/>
        </left>
        <right/>
        <top/>
        <bottom/>
        <vertical/>
        <horizontal/>
      </border>
    </dxf>
    <dxf>
      <numFmt numFmtId="2" formatCode="0.00"/>
      <border diagonalUp="0" diagonalDown="0">
        <left style="medium">
          <color rgb="FF000000"/>
        </left>
        <right/>
        <top/>
        <bottom/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</border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2025 Overmature Plan 95% FS Monthly VaR/CVaR at</a:t>
            </a:r>
            <a:r>
              <a:rPr lang="en-GB" b="1" baseline="0"/>
              <a:t> Various FRs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'95pc FS Monthly VaR CVaR per FR'!$G$3</c:f>
              <c:strCache>
                <c:ptCount val="1"/>
                <c:pt idx="0">
                  <c:v>95% FS Monthly VaR (£m, per £1m Liabilities)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'95pc FS Monthly VaR CVaR per FR'!$F$4:$F$23</c:f>
              <c:numCache>
                <c:formatCode>0.0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</c:numCache>
            </c:numRef>
          </c:cat>
          <c:val>
            <c:numRef>
              <c:f>'95pc FS Monthly VaR CVaR per FR'!$G$4:$G$23</c:f>
              <c:numCache>
                <c:formatCode>0.000</c:formatCode>
                <c:ptCount val="20"/>
                <c:pt idx="0">
                  <c:v>-0.36907248477444954</c:v>
                </c:pt>
                <c:pt idx="1">
                  <c:v>-0.50926686496673879</c:v>
                </c:pt>
                <c:pt idx="2">
                  <c:v>-0.73364639396998421</c:v>
                </c:pt>
                <c:pt idx="3">
                  <c:v>-0.96250135304486317</c:v>
                </c:pt>
                <c:pt idx="4">
                  <c:v>-1.1937865397909275</c:v>
                </c:pt>
                <c:pt idx="5">
                  <c:v>-1.4250717265369919</c:v>
                </c:pt>
                <c:pt idx="6">
                  <c:v>-1.6521450446390125</c:v>
                </c:pt>
                <c:pt idx="7">
                  <c:v>-1.8672221762632146</c:v>
                </c:pt>
                <c:pt idx="8">
                  <c:v>-2.0985453554930857</c:v>
                </c:pt>
                <c:pt idx="9">
                  <c:v>-2.3298685347229573</c:v>
                </c:pt>
                <c:pt idx="10">
                  <c:v>-2.5527842059136487</c:v>
                </c:pt>
                <c:pt idx="11">
                  <c:v>-2.7753626082418856</c:v>
                </c:pt>
                <c:pt idx="12">
                  <c:v>-2.9979410105701239</c:v>
                </c:pt>
                <c:pt idx="13">
                  <c:v>-3.2205194128983616</c:v>
                </c:pt>
                <c:pt idx="14">
                  <c:v>-3.4430978152265994</c:v>
                </c:pt>
                <c:pt idx="15">
                  <c:v>-3.6656762175548372</c:v>
                </c:pt>
                <c:pt idx="16">
                  <c:v>-3.888254619883075</c:v>
                </c:pt>
                <c:pt idx="17">
                  <c:v>-4.1108330222113132</c:v>
                </c:pt>
                <c:pt idx="18">
                  <c:v>-4.333411424539551</c:v>
                </c:pt>
                <c:pt idx="19">
                  <c:v>-4.5559898268677896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5-584B-B4BD-65BACFF8328C}"/>
            </c:ext>
          </c:extLst>
        </c:ser>
        <c:ser>
          <c:idx val="1"/>
          <c:order val="1"/>
          <c:tx>
            <c:strRef>
              <c:f>'95pc FS Monthly VaR CVaR per FR'!$H$3</c:f>
              <c:strCache>
                <c:ptCount val="1"/>
                <c:pt idx="0">
                  <c:v>95% FS Monthly CVaR (£m, per £1m Liabilities)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'95pc FS Monthly VaR CVaR per FR'!$F$4:$F$23</c:f>
              <c:numCache>
                <c:formatCode>0.0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</c:numCache>
            </c:numRef>
          </c:cat>
          <c:val>
            <c:numRef>
              <c:f>'95pc FS Monthly VaR CVaR per FR'!$H$4:$H$23</c:f>
              <c:numCache>
                <c:formatCode>0.000</c:formatCode>
                <c:ptCount val="20"/>
                <c:pt idx="0">
                  <c:v>-0.50004318345377707</c:v>
                </c:pt>
                <c:pt idx="1">
                  <c:v>-0.81217726632177301</c:v>
                </c:pt>
                <c:pt idx="2">
                  <c:v>-1.1627604544069017</c:v>
                </c:pt>
                <c:pt idx="3">
                  <c:v>-1.5133436424920306</c:v>
                </c:pt>
                <c:pt idx="4">
                  <c:v>-1.8639268305771595</c:v>
                </c:pt>
                <c:pt idx="5">
                  <c:v>-2.2145100186622879</c:v>
                </c:pt>
                <c:pt idx="6">
                  <c:v>-2.565093206747417</c:v>
                </c:pt>
                <c:pt idx="7">
                  <c:v>-2.917993585951983</c:v>
                </c:pt>
                <c:pt idx="8">
                  <c:v>-3.2737950450861324</c:v>
                </c:pt>
                <c:pt idx="9">
                  <c:v>-3.6295965042202809</c:v>
                </c:pt>
                <c:pt idx="10">
                  <c:v>-3.9853979633544316</c:v>
                </c:pt>
                <c:pt idx="11">
                  <c:v>-4.3411994224885797</c:v>
                </c:pt>
                <c:pt idx="12">
                  <c:v>-4.6970008816227296</c:v>
                </c:pt>
                <c:pt idx="13">
                  <c:v>-5.0528023407568785</c:v>
                </c:pt>
                <c:pt idx="14">
                  <c:v>-5.4086037998910284</c:v>
                </c:pt>
                <c:pt idx="15">
                  <c:v>-5.7644052590251782</c:v>
                </c:pt>
                <c:pt idx="16">
                  <c:v>-6.120206718159328</c:v>
                </c:pt>
                <c:pt idx="17">
                  <c:v>-6.476008177293477</c:v>
                </c:pt>
                <c:pt idx="18">
                  <c:v>-6.8318096364276251</c:v>
                </c:pt>
                <c:pt idx="19">
                  <c:v>-7.1876110955617758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5-584B-B4BD-65BACFF83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11306224"/>
        <c:axId val="311307952"/>
      </c:barChart>
      <c:catAx>
        <c:axId val="311306224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307952"/>
        <c:crosses val="autoZero"/>
        <c:auto val="1"/>
        <c:lblAlgn val="ctr"/>
        <c:lblOffset val="100"/>
        <c:noMultiLvlLbl val="0"/>
      </c:catAx>
      <c:valAx>
        <c:axId val="31130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30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7F7F7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t>10Y F</a:t>
            </a:r>
            <a:r>
              <a:rPr lang="en-GB"/>
              <a:t>unding </a:t>
            </a:r>
            <a:r>
              <a:t>R</a:t>
            </a:r>
            <a:r>
              <a:rPr lang="en-GB"/>
              <a:t>atio</a:t>
            </a:r>
            <a:r>
              <a:t> Horizon Distribution</a:t>
            </a:r>
          </a:p>
        </cx:rich>
      </cx:tx>
    </cx:title>
    <cx:plotArea>
      <cx:plotAreaRegion>
        <cx:series layoutId="clusteredColumn" uniqueId="{00000000-1FDE-444F-B213-61808E2F2C84}">
          <cx:spPr>
            <a:solidFill>
              <a:srgbClr val="595959"/>
            </a:solidFill>
            <a:ln>
              <a:noFill/>
            </a:ln>
          </cx:spPr>
          <cx:dataId val="0"/>
          <cx:layoutPr>
            <cx:binning intervalClosed="r"/>
          </cx:layoutPr>
        </cx:series>
      </cx:plotAreaRegion>
      <cx:axis id="0">
        <cx:catScaling gapWidth="0.330000013"/>
        <cx:title>
          <cx:tx>
            <cx:txData>
              <cx:v>10Y FR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900" b="0" i="0">
                  <a:solidFill>
                    <a:srgbClr val="7F7F7F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t>10Y FR</a:t>
              </a:r>
            </a:p>
          </cx:txPr>
        </cx:title>
        <cx:majorTickMarks type="out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900" b="0" i="0">
                  <a:solidFill>
                    <a:srgbClr val="7F7F7F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t>Frequency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  <cx:spPr>
    <a:ln w="25400"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7F7F7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t>10Y F</a:t>
            </a:r>
            <a:r>
              <a:rPr lang="en-GB"/>
              <a:t>unding Surplus/Deficit</a:t>
            </a:r>
            <a:r>
              <a:t> Horizon Distribution</a:t>
            </a:r>
          </a:p>
        </cx:rich>
      </cx:tx>
    </cx:title>
    <cx:plotArea>
      <cx:plotAreaRegion>
        <cx:series layoutId="clusteredColumn" uniqueId="{00000000-1BA5-49B4-837C-6EE606418584}">
          <cx:spPr>
            <a:solidFill>
              <a:srgbClr val="595959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.330000013"/>
        <cx:title>
          <cx:tx>
            <cx:txData>
              <cx:v>10Y FS/D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900" b="0" i="0">
                  <a:solidFill>
                    <a:srgbClr val="7F7F7F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t>10Y FS/D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900" b="0" i="0">
                  <a:solidFill>
                    <a:srgbClr val="7F7F7F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t>Frequency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  <cx:spPr>
    <a:ln w="25400"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7</xdr:col>
          <xdr:colOff>927100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UPDATE SIMULATIONS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10</xdr:row>
      <xdr:rowOff>0</xdr:rowOff>
    </xdr:from>
    <xdr:to>
      <xdr:col>5</xdr:col>
      <xdr:colOff>0</xdr:colOff>
      <xdr:row>24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 descr="Chart type: Histogram. Frequency of '10Y FR'&#10;&#10;Description automatically generated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  <a:ext uri="{147F2762-F138-4A5C-976F-8EAC2B608ADB}">
                  <a16:predDERef xmlns:a16="http://schemas.microsoft.com/office/drawing/2014/main" pred="{3FFB8574-48B4-3A5C-0552-3081229692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5500" y="1955800"/>
              <a:ext cx="4864100" cy="267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12700</xdr:colOff>
      <xdr:row>10</xdr:row>
      <xdr:rowOff>1</xdr:rowOff>
    </xdr:from>
    <xdr:to>
      <xdr:col>11</xdr:col>
      <xdr:colOff>0</xdr:colOff>
      <xdr:row>24</xdr:row>
      <xdr:rowOff>12701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 descr="Chart type: Histogram. Frequency of '10Y FS/D'&#10;&#10;Description automatically generate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16FFF93A-9E22-0A5F-4CC9-534446962C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9100" y="1955801"/>
              <a:ext cx="4724400" cy="267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</xdr:row>
          <xdr:rowOff>38100</xdr:rowOff>
        </xdr:from>
        <xdr:to>
          <xdr:col>2</xdr:col>
          <xdr:colOff>469900</xdr:colOff>
          <xdr:row>6</xdr:row>
          <xdr:rowOff>38100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8D3A468E-8126-0DF5-9A96-7693465F5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2011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4</xdr:row>
          <xdr:rowOff>38100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C1EF42B2-7FCD-5CF7-FBF0-D0823609E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4</xdr:row>
          <xdr:rowOff>25400</xdr:rowOff>
        </xdr:from>
        <xdr:to>
          <xdr:col>8</xdr:col>
          <xdr:colOff>596900</xdr:colOff>
          <xdr:row>6</xdr:row>
          <xdr:rowOff>25400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21A250C2-E75F-B0F4-554A-84CB18057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IMMATURE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4</xdr:row>
          <xdr:rowOff>25400</xdr:rowOff>
        </xdr:from>
        <xdr:to>
          <xdr:col>9</xdr:col>
          <xdr:colOff>927100</xdr:colOff>
          <xdr:row>6</xdr:row>
          <xdr:rowOff>25400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6924CD67-3C64-10C6-80E8-1F8E156DB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MATURE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939800</xdr:colOff>
          <xdr:row>4</xdr:row>
          <xdr:rowOff>25400</xdr:rowOff>
        </xdr:from>
        <xdr:to>
          <xdr:col>11</xdr:col>
          <xdr:colOff>12700</xdr:colOff>
          <xdr:row>6</xdr:row>
          <xdr:rowOff>25400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A5D1698F-AE96-625E-6C37-EC7980BBA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C000"/>
                  </a:solidFill>
                  <a:latin typeface="Calibri" pitchFamily="2" charset="0"/>
                  <a:cs typeface="Calibri" pitchFamily="2" charset="0"/>
                </a:rPr>
                <a:t>OVERMATURE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6350</xdr:rowOff>
    </xdr:from>
    <xdr:to>
      <xdr:col>4</xdr:col>
      <xdr:colOff>3060700</xdr:colOff>
      <xdr:row>23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492685-01D7-6913-7C18-F25747F1D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F87977-6220-4257-B939-5943650EF267}" name="Table2" displayName="Table2" ref="N1:P1001" totalsRowShown="0" headerRowDxfId="4" headerRowBorderDxfId="3" tableBorderDxfId="2">
  <autoFilter ref="N1:P1001" xr:uid="{26F87977-6220-4257-B939-5943650EF267}"/>
  <tableColumns count="3">
    <tableColumn id="1" xr3:uid="{EB63D7A0-8677-477C-A0AE-5F9B941335BE}" name="Sim No.">
      <calculatedColumnFormula>ROW(N2)-1</calculatedColumnFormula>
    </tableColumn>
    <tableColumn id="2" xr3:uid="{9E4E3409-F74A-4543-99DE-DD5F2A6AC8DF}" name="10Y FR" dataDxfId="1"/>
    <tableColumn id="3" xr3:uid="{BCF757F3-9593-4E33-A62B-678B4D8AD8C4}" name="10Y FS/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F4BA67-C9BA-7747-8848-29339A62E5EB}">
  <we:reference id="wa200009404" version="1.0.0.8" store="en-U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3E0B-E708-7C4D-A47C-049505BC4237}">
  <sheetPr codeName="Sheet5"/>
  <dimension ref="B1:K58"/>
  <sheetViews>
    <sheetView tabSelected="1" workbookViewId="0">
      <selection activeCell="M7" sqref="M7"/>
    </sheetView>
  </sheetViews>
  <sheetFormatPr baseColWidth="10" defaultRowHeight="15" x14ac:dyDescent="0.2"/>
  <cols>
    <col min="2" max="2" width="26" customWidth="1"/>
    <col min="3" max="3" width="12.1640625" customWidth="1"/>
    <col min="4" max="4" width="14.83203125" customWidth="1"/>
    <col min="6" max="6" width="19.83203125" customWidth="1"/>
    <col min="7" max="7" width="13" customWidth="1"/>
    <col min="8" max="8" width="15.5" customWidth="1"/>
    <col min="9" max="9" width="17.6640625" customWidth="1"/>
    <col min="10" max="10" width="16" customWidth="1"/>
    <col min="11" max="11" width="16.1640625" customWidth="1"/>
  </cols>
  <sheetData>
    <row r="1" spans="2:11" ht="16" thickBot="1" x14ac:dyDescent="0.25"/>
    <row r="2" spans="2:11" ht="16" thickBot="1" x14ac:dyDescent="0.25">
      <c r="B2" s="126" t="s">
        <v>0</v>
      </c>
      <c r="C2" s="127"/>
      <c r="D2" s="127"/>
      <c r="E2" s="127"/>
      <c r="F2" s="127"/>
      <c r="G2" s="127"/>
      <c r="H2" s="127"/>
      <c r="I2" s="127"/>
      <c r="J2" s="127"/>
      <c r="K2" s="128"/>
    </row>
    <row r="3" spans="2:11" ht="16" thickBot="1" x14ac:dyDescent="0.25"/>
    <row r="4" spans="2:11" ht="16" thickBot="1" x14ac:dyDescent="0.25">
      <c r="B4" s="116" t="s">
        <v>111</v>
      </c>
      <c r="C4" s="117"/>
      <c r="D4" s="117"/>
      <c r="E4" s="118"/>
      <c r="H4" s="116" t="s">
        <v>112</v>
      </c>
      <c r="I4" s="117"/>
      <c r="J4" s="117"/>
      <c r="K4" s="118"/>
    </row>
    <row r="25" spans="2:11" ht="16" thickBot="1" x14ac:dyDescent="0.25"/>
    <row r="26" spans="2:11" ht="16" thickBot="1" x14ac:dyDescent="0.25">
      <c r="B26" s="116" t="s">
        <v>113</v>
      </c>
      <c r="C26" s="117"/>
      <c r="D26" s="117"/>
      <c r="E26" s="117"/>
      <c r="F26" s="117"/>
      <c r="G26" s="117"/>
      <c r="H26" s="117"/>
      <c r="I26" s="117"/>
      <c r="J26" s="117"/>
      <c r="K26" s="118"/>
    </row>
    <row r="27" spans="2:11" ht="16" thickBot="1" x14ac:dyDescent="0.25"/>
    <row r="28" spans="2:11" ht="16" thickBot="1" x14ac:dyDescent="0.25">
      <c r="B28" s="137" t="s">
        <v>11</v>
      </c>
      <c r="C28" s="138"/>
      <c r="D28" s="138"/>
      <c r="E28" s="138"/>
      <c r="F28" s="138"/>
      <c r="G28" s="139"/>
      <c r="I28" s="129" t="s">
        <v>10</v>
      </c>
      <c r="J28" s="130"/>
    </row>
    <row r="29" spans="2:11" x14ac:dyDescent="0.2">
      <c r="B29" s="45" t="s">
        <v>13</v>
      </c>
      <c r="C29" s="109">
        <v>150.57524875621891</v>
      </c>
      <c r="D29" s="70" t="s">
        <v>14</v>
      </c>
      <c r="E29" s="42">
        <f>'Asset Class Returns &amp; Weights'!I14</f>
        <v>0.46493439177594786</v>
      </c>
      <c r="F29" s="45" t="s">
        <v>114</v>
      </c>
      <c r="G29" s="105">
        <f>'Asset Class Returns &amp; Weights'!K14</f>
        <v>70.011476559593035</v>
      </c>
      <c r="I29" s="27" t="s">
        <v>12</v>
      </c>
      <c r="J29" s="67">
        <v>0.6</v>
      </c>
    </row>
    <row r="30" spans="2:11" x14ac:dyDescent="0.2">
      <c r="B30" s="46" t="s">
        <v>16</v>
      </c>
      <c r="C30" s="110">
        <v>150.76181592039802</v>
      </c>
      <c r="D30" s="71" t="s">
        <v>118</v>
      </c>
      <c r="E30" s="43">
        <f>'Asset Class Returns &amp; Weights'!I15</f>
        <v>1.8680774175623258</v>
      </c>
      <c r="F30" s="46" t="s">
        <v>115</v>
      </c>
      <c r="G30" s="106">
        <f>'Asset Class Returns &amp; Weights'!K15</f>
        <v>-405.38622488717232</v>
      </c>
      <c r="I30" s="27" t="s">
        <v>15</v>
      </c>
      <c r="J30" s="67">
        <v>0.2</v>
      </c>
    </row>
    <row r="31" spans="2:11" ht="16" thickBot="1" x14ac:dyDescent="0.25">
      <c r="B31" s="47" t="s">
        <v>18</v>
      </c>
      <c r="C31" s="69">
        <v>0.95</v>
      </c>
      <c r="D31" s="71" t="s">
        <v>119</v>
      </c>
      <c r="E31" s="43">
        <f>'Asset Class Returns &amp; Weights'!I16</f>
        <v>-0.50018282484239229</v>
      </c>
      <c r="F31" s="46" t="s">
        <v>116</v>
      </c>
      <c r="G31" s="106">
        <f>'Asset Class Returns &amp; Weights'!K16</f>
        <v>-592.051117545539</v>
      </c>
      <c r="I31" s="27" t="s">
        <v>17</v>
      </c>
      <c r="J31" s="67">
        <v>0.2</v>
      </c>
    </row>
    <row r="32" spans="2:11" ht="16" thickBot="1" x14ac:dyDescent="0.25">
      <c r="B32" s="48" t="s">
        <v>20</v>
      </c>
      <c r="C32" s="59">
        <f>C29/C30</f>
        <v>0.99876250386717536</v>
      </c>
      <c r="D32" s="48" t="s">
        <v>120</v>
      </c>
      <c r="E32" s="49">
        <f>'Asset Class Returns &amp; Weights'!I17</f>
        <v>1.3726364632315669</v>
      </c>
      <c r="F32" s="48" t="s">
        <v>117</v>
      </c>
      <c r="G32" s="107">
        <f>'Asset Class Returns &amp; Weights'!K17</f>
        <v>-1033.3514960366413</v>
      </c>
      <c r="I32" s="28" t="s">
        <v>19</v>
      </c>
      <c r="J32" s="68">
        <v>0.2</v>
      </c>
    </row>
    <row r="33" spans="2:11" ht="16" thickBot="1" x14ac:dyDescent="0.25"/>
    <row r="34" spans="2:11" ht="16" thickBot="1" x14ac:dyDescent="0.25">
      <c r="C34" s="84" t="s">
        <v>82</v>
      </c>
      <c r="D34" s="84" t="s">
        <v>83</v>
      </c>
      <c r="E34" s="84" t="s">
        <v>81</v>
      </c>
      <c r="F34" s="84" t="s">
        <v>102</v>
      </c>
      <c r="G34" s="84" t="s">
        <v>84</v>
      </c>
      <c r="H34" s="84" t="s">
        <v>102</v>
      </c>
      <c r="I34" s="84" t="s">
        <v>97</v>
      </c>
      <c r="J34" s="84" t="s">
        <v>96</v>
      </c>
      <c r="K34" s="84" t="s">
        <v>108</v>
      </c>
    </row>
    <row r="35" spans="2:11" ht="16" thickBot="1" x14ac:dyDescent="0.25">
      <c r="B35" s="123" t="s">
        <v>109</v>
      </c>
      <c r="C35" s="80" t="s">
        <v>21</v>
      </c>
      <c r="D35" s="94">
        <v>4.1000000000000002E-2</v>
      </c>
      <c r="I35" s="98" t="s">
        <v>28</v>
      </c>
      <c r="J35" s="78">
        <f>D35</f>
        <v>4.1000000000000002E-2</v>
      </c>
      <c r="K35" s="88">
        <f>J35/$J$49</f>
        <v>4.5942992608027977E-2</v>
      </c>
    </row>
    <row r="36" spans="2:11" ht="16" thickBot="1" x14ac:dyDescent="0.25">
      <c r="B36" s="124"/>
      <c r="C36" s="114" t="s">
        <v>22</v>
      </c>
      <c r="D36" s="119">
        <v>0.40100000000000002</v>
      </c>
      <c r="E36" s="114" t="s">
        <v>85</v>
      </c>
      <c r="F36" s="119">
        <v>0.19600000000000001</v>
      </c>
      <c r="G36" s="114" t="s">
        <v>86</v>
      </c>
      <c r="H36" s="119">
        <v>0.121</v>
      </c>
      <c r="I36" s="80" t="s">
        <v>29</v>
      </c>
      <c r="J36" s="88">
        <f>D36*F36*H36</f>
        <v>9.5101160000000007E-3</v>
      </c>
      <c r="K36" s="88">
        <f>J36/$J$49</f>
        <v>1.0656663148524113E-2</v>
      </c>
    </row>
    <row r="37" spans="2:11" ht="16" thickBot="1" x14ac:dyDescent="0.25">
      <c r="B37" s="124"/>
      <c r="C37" s="122"/>
      <c r="D37" s="120"/>
      <c r="E37" s="122"/>
      <c r="F37" s="120"/>
      <c r="G37" s="115"/>
      <c r="H37" s="121"/>
      <c r="I37" s="80" t="s">
        <v>30</v>
      </c>
      <c r="J37" s="88">
        <f>D36*F36*H38</f>
        <v>1.8784444000000001E-2</v>
      </c>
      <c r="K37" s="88">
        <f t="shared" ref="K37:K48" si="0">J37/$J$49</f>
        <v>2.1049111508241843E-2</v>
      </c>
    </row>
    <row r="38" spans="2:11" ht="16" thickBot="1" x14ac:dyDescent="0.25">
      <c r="B38" s="124"/>
      <c r="C38" s="122"/>
      <c r="D38" s="120"/>
      <c r="E38" s="115"/>
      <c r="F38" s="121"/>
      <c r="G38" s="114" t="s">
        <v>87</v>
      </c>
      <c r="H38" s="119">
        <v>0.23899999999999999</v>
      </c>
      <c r="I38" s="80" t="s">
        <v>31</v>
      </c>
      <c r="J38" s="88">
        <f>D36*F36*H41</f>
        <v>4.0241152000000009E-2</v>
      </c>
      <c r="K38" s="88">
        <f t="shared" si="0"/>
        <v>4.5092657289622702E-2</v>
      </c>
    </row>
    <row r="39" spans="2:11" ht="16" thickBot="1" x14ac:dyDescent="0.25">
      <c r="B39" s="124"/>
      <c r="C39" s="122"/>
      <c r="D39" s="120"/>
      <c r="E39" s="85" t="s">
        <v>92</v>
      </c>
      <c r="F39" s="93">
        <v>0.443</v>
      </c>
      <c r="G39" s="122"/>
      <c r="H39" s="120"/>
      <c r="I39" s="80" t="s">
        <v>92</v>
      </c>
      <c r="J39" s="88">
        <f>D36*F39</f>
        <v>0.17764300000000002</v>
      </c>
      <c r="K39" s="88">
        <f t="shared" si="0"/>
        <v>0.19905978136263208</v>
      </c>
    </row>
    <row r="40" spans="2:11" ht="16" thickBot="1" x14ac:dyDescent="0.25">
      <c r="B40" s="124"/>
      <c r="C40" s="122"/>
      <c r="D40" s="120"/>
      <c r="E40" s="85" t="s">
        <v>91</v>
      </c>
      <c r="F40" s="93">
        <v>0</v>
      </c>
      <c r="G40" s="115"/>
      <c r="H40" s="121"/>
      <c r="I40" s="80" t="s">
        <v>91</v>
      </c>
      <c r="J40" s="88">
        <f>D36*F40</f>
        <v>0</v>
      </c>
      <c r="K40" s="88">
        <f t="shared" si="0"/>
        <v>0</v>
      </c>
    </row>
    <row r="41" spans="2:11" ht="16" thickBot="1" x14ac:dyDescent="0.25">
      <c r="B41" s="124"/>
      <c r="C41" s="122"/>
      <c r="D41" s="120"/>
      <c r="E41" s="114" t="s">
        <v>93</v>
      </c>
      <c r="F41" s="119">
        <v>0.36099999999999999</v>
      </c>
      <c r="G41" s="114" t="s">
        <v>88</v>
      </c>
      <c r="H41" s="119">
        <v>0.51200000000000001</v>
      </c>
      <c r="I41" s="80" t="s">
        <v>34</v>
      </c>
      <c r="J41" s="88">
        <f>D36*F41*H36</f>
        <v>1.7516080999999999E-2</v>
      </c>
      <c r="K41" s="88">
        <f t="shared" si="0"/>
        <v>1.9627833656210226E-2</v>
      </c>
    </row>
    <row r="42" spans="2:11" ht="16" thickBot="1" x14ac:dyDescent="0.25">
      <c r="B42" s="124"/>
      <c r="C42" s="122"/>
      <c r="D42" s="120"/>
      <c r="E42" s="122"/>
      <c r="F42" s="120"/>
      <c r="G42" s="122"/>
      <c r="H42" s="120"/>
      <c r="I42" s="80" t="s">
        <v>35</v>
      </c>
      <c r="J42" s="88">
        <f>D36*F41*H38</f>
        <v>3.4597878999999998E-2</v>
      </c>
      <c r="K42" s="88">
        <f t="shared" si="0"/>
        <v>3.876902680854747E-2</v>
      </c>
    </row>
    <row r="43" spans="2:11" ht="16" thickBot="1" x14ac:dyDescent="0.25">
      <c r="B43" s="124"/>
      <c r="C43" s="115"/>
      <c r="D43" s="121"/>
      <c r="E43" s="115"/>
      <c r="F43" s="121"/>
      <c r="G43" s="115"/>
      <c r="H43" s="121"/>
      <c r="I43" s="80" t="s">
        <v>36</v>
      </c>
      <c r="J43" s="88">
        <f>D36*F41*H41</f>
        <v>7.4117632000000003E-2</v>
      </c>
      <c r="K43" s="88">
        <f t="shared" si="0"/>
        <v>8.3053312660988726E-2</v>
      </c>
    </row>
    <row r="44" spans="2:11" ht="16" thickBot="1" x14ac:dyDescent="0.25">
      <c r="B44" s="124"/>
      <c r="C44" s="114" t="s">
        <v>23</v>
      </c>
      <c r="D44" s="119">
        <v>0.41099999999999998</v>
      </c>
      <c r="E44" s="83" t="s">
        <v>89</v>
      </c>
      <c r="F44" s="93">
        <v>0.38</v>
      </c>
      <c r="G44" s="135"/>
      <c r="H44" s="131"/>
      <c r="I44" s="80" t="s">
        <v>98</v>
      </c>
      <c r="J44" s="88">
        <f>D44*F44</f>
        <v>0.15617999999999999</v>
      </c>
      <c r="K44" s="88">
        <f t="shared" si="0"/>
        <v>0.17500918501272705</v>
      </c>
    </row>
    <row r="45" spans="2:11" ht="16" thickBot="1" x14ac:dyDescent="0.25">
      <c r="B45" s="124"/>
      <c r="C45" s="122"/>
      <c r="D45" s="120"/>
      <c r="E45" s="83" t="s">
        <v>90</v>
      </c>
      <c r="F45" s="93">
        <v>0.57199999999999995</v>
      </c>
      <c r="G45" s="136"/>
      <c r="H45" s="132"/>
      <c r="I45" s="80" t="s">
        <v>99</v>
      </c>
      <c r="J45" s="88">
        <f>D44*F45</f>
        <v>0.23509199999999997</v>
      </c>
      <c r="K45" s="88">
        <f t="shared" si="0"/>
        <v>0.26343487849284175</v>
      </c>
    </row>
    <row r="46" spans="2:11" ht="16" thickBot="1" x14ac:dyDescent="0.25">
      <c r="B46" s="124"/>
      <c r="C46" s="115"/>
      <c r="D46" s="121"/>
      <c r="E46" s="83" t="s">
        <v>91</v>
      </c>
      <c r="F46" s="93">
        <v>4.8000000000000001E-2</v>
      </c>
      <c r="G46" s="136"/>
      <c r="H46" s="132"/>
      <c r="I46" s="80" t="s">
        <v>100</v>
      </c>
      <c r="J46" s="88">
        <f>D44*F46</f>
        <v>1.9727999999999999E-2</v>
      </c>
      <c r="K46" s="88">
        <f t="shared" si="0"/>
        <v>2.2106423370028681E-2</v>
      </c>
    </row>
    <row r="47" spans="2:11" ht="16" thickBot="1" x14ac:dyDescent="0.25">
      <c r="B47" s="124"/>
      <c r="C47" s="83" t="s">
        <v>94</v>
      </c>
      <c r="D47" s="93">
        <v>4.3999999999999997E-2</v>
      </c>
      <c r="E47" s="133"/>
      <c r="F47" s="135"/>
      <c r="G47" s="136"/>
      <c r="H47" s="132"/>
      <c r="I47" s="80" t="s">
        <v>40</v>
      </c>
      <c r="J47" s="88">
        <f>D47</f>
        <v>4.3999999999999997E-2</v>
      </c>
      <c r="K47" s="88">
        <f t="shared" si="0"/>
        <v>4.9304674993981244E-2</v>
      </c>
    </row>
    <row r="48" spans="2:11" ht="16" thickBot="1" x14ac:dyDescent="0.25">
      <c r="B48" s="125"/>
      <c r="C48" s="82" t="s">
        <v>95</v>
      </c>
      <c r="D48" s="93">
        <v>2.4E-2</v>
      </c>
      <c r="E48" s="134"/>
      <c r="F48" s="136"/>
      <c r="G48" s="136"/>
      <c r="H48" s="132"/>
      <c r="I48" s="80" t="s">
        <v>41</v>
      </c>
      <c r="J48" s="88">
        <f>D48</f>
        <v>2.4E-2</v>
      </c>
      <c r="K48" s="88">
        <f t="shared" si="0"/>
        <v>2.6893459087626134E-2</v>
      </c>
    </row>
    <row r="49" spans="2:11" ht="16" thickBot="1" x14ac:dyDescent="0.25">
      <c r="D49" s="72"/>
      <c r="F49" s="72"/>
      <c r="H49" s="72"/>
      <c r="I49" s="86" t="s">
        <v>101</v>
      </c>
      <c r="J49" s="89">
        <f>SUM(J35:J48)</f>
        <v>0.89241030399999999</v>
      </c>
      <c r="K49" s="89">
        <f>SUM(K35:K48)</f>
        <v>1.0000000000000002</v>
      </c>
    </row>
    <row r="50" spans="2:11" ht="16" thickBot="1" x14ac:dyDescent="0.25">
      <c r="C50" s="195"/>
      <c r="D50" s="195"/>
      <c r="E50" s="195"/>
    </row>
    <row r="51" spans="2:11" ht="16" thickBot="1" x14ac:dyDescent="0.25">
      <c r="C51" s="84" t="s">
        <v>82</v>
      </c>
      <c r="D51" s="84" t="s">
        <v>83</v>
      </c>
      <c r="E51" s="84" t="s">
        <v>81</v>
      </c>
      <c r="F51" s="84" t="s">
        <v>102</v>
      </c>
      <c r="G51" s="84" t="s">
        <v>97</v>
      </c>
      <c r="H51" s="84" t="s">
        <v>96</v>
      </c>
      <c r="I51" s="84" t="s">
        <v>108</v>
      </c>
    </row>
    <row r="52" spans="2:11" ht="16" thickBot="1" x14ac:dyDescent="0.25">
      <c r="B52" s="114" t="s">
        <v>110</v>
      </c>
      <c r="C52" s="114" t="s">
        <v>85</v>
      </c>
      <c r="D52" s="196">
        <v>0.25</v>
      </c>
      <c r="E52" s="114" t="s">
        <v>86</v>
      </c>
      <c r="F52" s="196">
        <f>4/15</f>
        <v>0.26666666666666666</v>
      </c>
      <c r="G52" s="81" t="s">
        <v>29</v>
      </c>
      <c r="H52" s="90">
        <f>D52*F52</f>
        <v>6.6666666666666666E-2</v>
      </c>
      <c r="I52" s="90">
        <f>H52/$H$58</f>
        <v>6.6666666666666666E-2</v>
      </c>
    </row>
    <row r="53" spans="2:11" ht="16" thickBot="1" x14ac:dyDescent="0.25">
      <c r="B53" s="122"/>
      <c r="C53" s="122"/>
      <c r="D53" s="197"/>
      <c r="E53" s="115"/>
      <c r="F53" s="198"/>
      <c r="G53" s="83" t="s">
        <v>30</v>
      </c>
      <c r="H53" s="90">
        <f>D52*F54</f>
        <v>0.1</v>
      </c>
      <c r="I53" s="90">
        <f t="shared" ref="I53:I57" si="1">H53/$H$58</f>
        <v>0.1</v>
      </c>
    </row>
    <row r="54" spans="2:11" ht="16" thickBot="1" x14ac:dyDescent="0.25">
      <c r="B54" s="122"/>
      <c r="C54" s="115"/>
      <c r="D54" s="198"/>
      <c r="E54" s="114" t="s">
        <v>87</v>
      </c>
      <c r="F54" s="196">
        <f>6/15</f>
        <v>0.4</v>
      </c>
      <c r="G54" s="83" t="s">
        <v>31</v>
      </c>
      <c r="H54" s="90">
        <f>D52*F56</f>
        <v>8.3333333333333329E-2</v>
      </c>
      <c r="I54" s="90">
        <f t="shared" si="1"/>
        <v>8.3333333333333329E-2</v>
      </c>
    </row>
    <row r="55" spans="2:11" ht="16" thickBot="1" x14ac:dyDescent="0.25">
      <c r="B55" s="122"/>
      <c r="C55" s="114" t="s">
        <v>93</v>
      </c>
      <c r="D55" s="196">
        <v>0.75</v>
      </c>
      <c r="E55" s="115"/>
      <c r="F55" s="198"/>
      <c r="G55" s="83" t="s">
        <v>34</v>
      </c>
      <c r="H55" s="90">
        <f>D55*F52</f>
        <v>0.2</v>
      </c>
      <c r="I55" s="90">
        <f t="shared" si="1"/>
        <v>0.2</v>
      </c>
    </row>
    <row r="56" spans="2:11" ht="16" thickBot="1" x14ac:dyDescent="0.25">
      <c r="B56" s="122"/>
      <c r="C56" s="122"/>
      <c r="D56" s="197"/>
      <c r="E56" s="114" t="s">
        <v>88</v>
      </c>
      <c r="F56" s="196">
        <f>5/15</f>
        <v>0.33333333333333331</v>
      </c>
      <c r="G56" s="83" t="s">
        <v>35</v>
      </c>
      <c r="H56" s="90">
        <f>D55*F54</f>
        <v>0.30000000000000004</v>
      </c>
      <c r="I56" s="90">
        <f t="shared" si="1"/>
        <v>0.30000000000000004</v>
      </c>
    </row>
    <row r="57" spans="2:11" ht="16" thickBot="1" x14ac:dyDescent="0.25">
      <c r="B57" s="115"/>
      <c r="C57" s="115"/>
      <c r="D57" s="198"/>
      <c r="E57" s="115"/>
      <c r="F57" s="198"/>
      <c r="G57" s="83" t="s">
        <v>36</v>
      </c>
      <c r="H57" s="90">
        <f>D55*F56</f>
        <v>0.25</v>
      </c>
      <c r="I57" s="90">
        <f t="shared" si="1"/>
        <v>0.25</v>
      </c>
    </row>
    <row r="58" spans="2:11" ht="16" thickBot="1" x14ac:dyDescent="0.25">
      <c r="G58" s="84" t="s">
        <v>101</v>
      </c>
      <c r="H58" s="91">
        <f>SUM(H52:H57)</f>
        <v>1</v>
      </c>
      <c r="I58" s="91">
        <f>SUM(I52:I57)</f>
        <v>1</v>
      </c>
    </row>
  </sheetData>
  <mergeCells count="36">
    <mergeCell ref="C52:C54"/>
    <mergeCell ref="C55:C57"/>
    <mergeCell ref="D52:D54"/>
    <mergeCell ref="D55:D57"/>
    <mergeCell ref="E52:E53"/>
    <mergeCell ref="E54:E55"/>
    <mergeCell ref="E56:E57"/>
    <mergeCell ref="B2:K2"/>
    <mergeCell ref="I28:J28"/>
    <mergeCell ref="H44:H48"/>
    <mergeCell ref="E47:E48"/>
    <mergeCell ref="F47:F48"/>
    <mergeCell ref="G44:G48"/>
    <mergeCell ref="D44:D46"/>
    <mergeCell ref="C44:C46"/>
    <mergeCell ref="G36:G37"/>
    <mergeCell ref="F36:F38"/>
    <mergeCell ref="E36:E38"/>
    <mergeCell ref="H36:H37"/>
    <mergeCell ref="G38:G40"/>
    <mergeCell ref="H38:H40"/>
    <mergeCell ref="E41:E43"/>
    <mergeCell ref="F41:F43"/>
    <mergeCell ref="B26:K26"/>
    <mergeCell ref="B4:E4"/>
    <mergeCell ref="H4:K4"/>
    <mergeCell ref="D36:D43"/>
    <mergeCell ref="C36:C43"/>
    <mergeCell ref="B35:B48"/>
    <mergeCell ref="G41:G43"/>
    <mergeCell ref="H41:H43"/>
    <mergeCell ref="B28:G28"/>
    <mergeCell ref="B52:B57"/>
    <mergeCell ref="F52:F53"/>
    <mergeCell ref="F54:F55"/>
    <mergeCell ref="F56:F5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imulationReturnsUpdate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927100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Assets2011">
                <anchor moveWithCells="1" sizeWithCells="1">
                  <from>
                    <xdr:col>1</xdr:col>
                    <xdr:colOff>12700</xdr:colOff>
                    <xdr:row>4</xdr:row>
                    <xdr:rowOff>38100</xdr:rowOff>
                  </from>
                  <to>
                    <xdr:col>2</xdr:col>
                    <xdr:colOff>469900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Assets2025">
                <anchor moveWithCells="1" sizeWithCells="1">
                  <from>
                    <xdr:col>2</xdr:col>
                    <xdr:colOff>482600</xdr:colOff>
                    <xdr:row>4</xdr:row>
                    <xdr:rowOff>38100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Immature">
                <anchor moveWithCells="1" sizeWithCells="1">
                  <from>
                    <xdr:col>7</xdr:col>
                    <xdr:colOff>12700</xdr:colOff>
                    <xdr:row>4</xdr:row>
                    <xdr:rowOff>25400</xdr:rowOff>
                  </from>
                  <to>
                    <xdr:col>8</xdr:col>
                    <xdr:colOff>596900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Mature">
                <anchor moveWithCells="1" sizeWithCells="1">
                  <from>
                    <xdr:col>8</xdr:col>
                    <xdr:colOff>609600</xdr:colOff>
                    <xdr:row>4</xdr:row>
                    <xdr:rowOff>25400</xdr:rowOff>
                  </from>
                  <to>
                    <xdr:col>9</xdr:col>
                    <xdr:colOff>927100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Overmature">
                <anchor moveWithCells="1" sizeWithCells="1">
                  <from>
                    <xdr:col>9</xdr:col>
                    <xdr:colOff>939800</xdr:colOff>
                    <xdr:row>4</xdr:row>
                    <xdr:rowOff>25400</xdr:rowOff>
                  </from>
                  <to>
                    <xdr:col>11</xdr:col>
                    <xdr:colOff>12700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8202-7887-5A46-B543-8C005042A1AB}">
  <sheetPr codeName="Sheet3"/>
  <dimension ref="F1:H23"/>
  <sheetViews>
    <sheetView topLeftCell="A20" workbookViewId="0">
      <selection activeCell="J13" sqref="J13"/>
    </sheetView>
  </sheetViews>
  <sheetFormatPr baseColWidth="10" defaultRowHeight="15" x14ac:dyDescent="0.2"/>
  <cols>
    <col min="1" max="1" width="5.6640625" customWidth="1"/>
    <col min="2" max="2" width="8.33203125" customWidth="1"/>
    <col min="3" max="3" width="9.33203125" customWidth="1"/>
    <col min="4" max="4" width="21.83203125" customWidth="1"/>
    <col min="5" max="5" width="50" customWidth="1"/>
    <col min="6" max="6" width="3.6640625" bestFit="1" customWidth="1"/>
    <col min="7" max="7" width="36.83203125" bestFit="1" customWidth="1"/>
    <col min="8" max="8" width="38" bestFit="1" customWidth="1"/>
  </cols>
  <sheetData>
    <row r="1" spans="6:8" ht="16" thickBot="1" x14ac:dyDescent="0.25"/>
    <row r="2" spans="6:8" ht="16" thickBot="1" x14ac:dyDescent="0.25">
      <c r="F2" s="153" t="s">
        <v>127</v>
      </c>
      <c r="G2" s="154"/>
      <c r="H2" s="155"/>
    </row>
    <row r="3" spans="6:8" ht="16" thickBot="1" x14ac:dyDescent="0.25">
      <c r="F3" s="84" t="s">
        <v>128</v>
      </c>
      <c r="G3" s="84" t="s">
        <v>129</v>
      </c>
      <c r="H3" s="84" t="s">
        <v>130</v>
      </c>
    </row>
    <row r="4" spans="6:8" x14ac:dyDescent="0.2">
      <c r="F4" s="185">
        <v>0.1</v>
      </c>
      <c r="G4" s="188">
        <v>-0.36907248477444954</v>
      </c>
      <c r="H4" s="188">
        <v>-0.50004318345377707</v>
      </c>
    </row>
    <row r="5" spans="6:8" x14ac:dyDescent="0.2">
      <c r="F5" s="186">
        <f>F4+0.1</f>
        <v>0.2</v>
      </c>
      <c r="G5" s="189">
        <v>-0.50926686496673879</v>
      </c>
      <c r="H5" s="189">
        <v>-0.81217726632177301</v>
      </c>
    </row>
    <row r="6" spans="6:8" x14ac:dyDescent="0.2">
      <c r="F6" s="186">
        <f t="shared" ref="F6:F22" si="0">F5+0.1</f>
        <v>0.30000000000000004</v>
      </c>
      <c r="G6" s="189">
        <v>-0.73364639396998421</v>
      </c>
      <c r="H6" s="189">
        <v>-1.1627604544069017</v>
      </c>
    </row>
    <row r="7" spans="6:8" x14ac:dyDescent="0.2">
      <c r="F7" s="186">
        <f t="shared" si="0"/>
        <v>0.4</v>
      </c>
      <c r="G7" s="189">
        <v>-0.96250135304486317</v>
      </c>
      <c r="H7" s="189">
        <v>-1.5133436424920306</v>
      </c>
    </row>
    <row r="8" spans="6:8" x14ac:dyDescent="0.2">
      <c r="F8" s="186">
        <f t="shared" si="0"/>
        <v>0.5</v>
      </c>
      <c r="G8" s="189">
        <v>-1.1937865397909275</v>
      </c>
      <c r="H8" s="189">
        <v>-1.8639268305771595</v>
      </c>
    </row>
    <row r="9" spans="6:8" x14ac:dyDescent="0.2">
      <c r="F9" s="186">
        <f t="shared" si="0"/>
        <v>0.6</v>
      </c>
      <c r="G9" s="189">
        <v>-1.4250717265369919</v>
      </c>
      <c r="H9" s="189">
        <v>-2.2145100186622879</v>
      </c>
    </row>
    <row r="10" spans="6:8" x14ac:dyDescent="0.2">
      <c r="F10" s="186">
        <f t="shared" si="0"/>
        <v>0.7</v>
      </c>
      <c r="G10" s="189">
        <v>-1.6521450446390125</v>
      </c>
      <c r="H10" s="189">
        <v>-2.565093206747417</v>
      </c>
    </row>
    <row r="11" spans="6:8" x14ac:dyDescent="0.2">
      <c r="F11" s="186">
        <f t="shared" si="0"/>
        <v>0.79999999999999993</v>
      </c>
      <c r="G11" s="189">
        <v>-1.8672221762632146</v>
      </c>
      <c r="H11" s="189">
        <v>-2.917993585951983</v>
      </c>
    </row>
    <row r="12" spans="6:8" ht="16" thickBot="1" x14ac:dyDescent="0.25">
      <c r="F12" s="186">
        <f t="shared" si="0"/>
        <v>0.89999999999999991</v>
      </c>
      <c r="G12" s="189">
        <v>-2.0985453554930857</v>
      </c>
      <c r="H12" s="189">
        <v>-3.2737950450861324</v>
      </c>
    </row>
    <row r="13" spans="6:8" ht="16" thickBot="1" x14ac:dyDescent="0.25">
      <c r="F13" s="191">
        <f t="shared" si="0"/>
        <v>0.99999999999999989</v>
      </c>
      <c r="G13" s="88">
        <v>-2.3298685347229573</v>
      </c>
      <c r="H13" s="88">
        <v>-3.6295965042202809</v>
      </c>
    </row>
    <row r="14" spans="6:8" x14ac:dyDescent="0.2">
      <c r="F14" s="186">
        <f t="shared" si="0"/>
        <v>1.0999999999999999</v>
      </c>
      <c r="G14" s="189">
        <v>-2.5527842059136487</v>
      </c>
      <c r="H14" s="189">
        <v>-3.9853979633544316</v>
      </c>
    </row>
    <row r="15" spans="6:8" x14ac:dyDescent="0.2">
      <c r="F15" s="186">
        <f t="shared" si="0"/>
        <v>1.2</v>
      </c>
      <c r="G15" s="189">
        <v>-2.7753626082418856</v>
      </c>
      <c r="H15" s="189">
        <v>-4.3411994224885797</v>
      </c>
    </row>
    <row r="16" spans="6:8" x14ac:dyDescent="0.2">
      <c r="F16" s="186">
        <f t="shared" si="0"/>
        <v>1.3</v>
      </c>
      <c r="G16" s="189">
        <v>-2.9979410105701239</v>
      </c>
      <c r="H16" s="189">
        <v>-4.6970008816227296</v>
      </c>
    </row>
    <row r="17" spans="6:8" x14ac:dyDescent="0.2">
      <c r="F17" s="186">
        <f t="shared" si="0"/>
        <v>1.4000000000000001</v>
      </c>
      <c r="G17" s="189">
        <v>-3.2205194128983616</v>
      </c>
      <c r="H17" s="189">
        <v>-5.0528023407568785</v>
      </c>
    </row>
    <row r="18" spans="6:8" x14ac:dyDescent="0.2">
      <c r="F18" s="186">
        <f t="shared" si="0"/>
        <v>1.5000000000000002</v>
      </c>
      <c r="G18" s="189">
        <v>-3.4430978152265994</v>
      </c>
      <c r="H18" s="189">
        <v>-5.4086037998910284</v>
      </c>
    </row>
    <row r="19" spans="6:8" x14ac:dyDescent="0.2">
      <c r="F19" s="186">
        <f>F18+0.1</f>
        <v>1.6000000000000003</v>
      </c>
      <c r="G19" s="189">
        <v>-3.6656762175548372</v>
      </c>
      <c r="H19" s="189">
        <v>-5.7644052590251782</v>
      </c>
    </row>
    <row r="20" spans="6:8" x14ac:dyDescent="0.2">
      <c r="F20" s="186">
        <f t="shared" si="0"/>
        <v>1.7000000000000004</v>
      </c>
      <c r="G20" s="189">
        <v>-3.888254619883075</v>
      </c>
      <c r="H20" s="189">
        <v>-6.120206718159328</v>
      </c>
    </row>
    <row r="21" spans="6:8" x14ac:dyDescent="0.2">
      <c r="F21" s="186">
        <f t="shared" si="0"/>
        <v>1.8000000000000005</v>
      </c>
      <c r="G21" s="189">
        <v>-4.1108330222113132</v>
      </c>
      <c r="H21" s="189">
        <v>-6.476008177293477</v>
      </c>
    </row>
    <row r="22" spans="6:8" x14ac:dyDescent="0.2">
      <c r="F22" s="186">
        <f t="shared" si="0"/>
        <v>1.9000000000000006</v>
      </c>
      <c r="G22" s="189">
        <v>-4.333411424539551</v>
      </c>
      <c r="H22" s="189">
        <v>-6.8318096364276251</v>
      </c>
    </row>
    <row r="23" spans="6:8" ht="16" thickBot="1" x14ac:dyDescent="0.25">
      <c r="F23" s="187">
        <f>F22+0.1</f>
        <v>2.0000000000000004</v>
      </c>
      <c r="G23" s="190">
        <v>-4.5559898268677896</v>
      </c>
      <c r="H23" s="190">
        <v>-7.1876110955617758</v>
      </c>
    </row>
  </sheetData>
  <mergeCells count="1">
    <mergeCell ref="F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F69E-C09A-D448-B4A9-D4A4E4CF2E7E}">
  <sheetPr codeName="Sheet4"/>
  <dimension ref="B1:K50"/>
  <sheetViews>
    <sheetView workbookViewId="0">
      <selection activeCell="H17" sqref="H17:H19"/>
    </sheetView>
  </sheetViews>
  <sheetFormatPr baseColWidth="10" defaultRowHeight="15" x14ac:dyDescent="0.2"/>
  <cols>
    <col min="3" max="3" width="18.83203125" customWidth="1"/>
    <col min="4" max="4" width="20.83203125" customWidth="1"/>
    <col min="5" max="5" width="16.1640625" customWidth="1"/>
    <col min="6" max="6" width="17.33203125" customWidth="1"/>
    <col min="7" max="7" width="21.5" customWidth="1"/>
    <col min="8" max="9" width="16" customWidth="1"/>
    <col min="10" max="10" width="18.83203125" customWidth="1"/>
    <col min="11" max="11" width="21.1640625" customWidth="1"/>
  </cols>
  <sheetData>
    <row r="1" spans="2:11" ht="16" thickBot="1" x14ac:dyDescent="0.25"/>
    <row r="2" spans="2:11" ht="16" thickBot="1" x14ac:dyDescent="0.25">
      <c r="C2" s="153" t="s">
        <v>1</v>
      </c>
      <c r="D2" s="154"/>
      <c r="E2" s="154"/>
      <c r="F2" s="154"/>
      <c r="G2" s="154"/>
      <c r="H2" s="154"/>
      <c r="I2" s="154"/>
      <c r="J2" s="155"/>
    </row>
    <row r="3" spans="2:11" x14ac:dyDescent="0.2">
      <c r="C3" s="156" t="s">
        <v>103</v>
      </c>
      <c r="D3" s="157"/>
      <c r="E3" s="157"/>
      <c r="F3" s="157"/>
      <c r="G3" s="157"/>
      <c r="H3" s="157"/>
      <c r="I3" s="157"/>
      <c r="J3" s="158"/>
    </row>
    <row r="4" spans="2:11" x14ac:dyDescent="0.2">
      <c r="C4" s="140" t="s">
        <v>104</v>
      </c>
      <c r="D4" s="141"/>
      <c r="E4" s="141"/>
      <c r="F4" s="141"/>
      <c r="G4" s="141"/>
      <c r="H4" s="141"/>
      <c r="I4" s="141"/>
      <c r="J4" s="142"/>
    </row>
    <row r="5" spans="2:11" x14ac:dyDescent="0.2">
      <c r="C5" s="140" t="s">
        <v>105</v>
      </c>
      <c r="D5" s="141"/>
      <c r="E5" s="141"/>
      <c r="F5" s="141"/>
      <c r="G5" s="141"/>
      <c r="H5" s="141"/>
      <c r="I5" s="141"/>
      <c r="J5" s="142"/>
    </row>
    <row r="6" spans="2:11" x14ac:dyDescent="0.2">
      <c r="C6" s="140" t="s">
        <v>106</v>
      </c>
      <c r="D6" s="141"/>
      <c r="E6" s="141"/>
      <c r="F6" s="141"/>
      <c r="G6" s="141"/>
      <c r="H6" s="141"/>
      <c r="I6" s="141"/>
      <c r="J6" s="142"/>
    </row>
    <row r="7" spans="2:11" ht="16" thickBot="1" x14ac:dyDescent="0.25">
      <c r="C7" s="143" t="s">
        <v>107</v>
      </c>
      <c r="D7" s="144"/>
      <c r="E7" s="144"/>
      <c r="F7" s="144"/>
      <c r="G7" s="144"/>
      <c r="H7" s="144"/>
      <c r="I7" s="144"/>
      <c r="J7" s="145"/>
    </row>
    <row r="8" spans="2:11" x14ac:dyDescent="0.2">
      <c r="C8" s="92"/>
      <c r="D8" s="92"/>
      <c r="E8" s="92"/>
      <c r="F8" s="92"/>
      <c r="G8" s="92"/>
      <c r="H8" s="92"/>
      <c r="I8" s="92"/>
      <c r="J8" s="92"/>
    </row>
    <row r="9" spans="2:11" ht="16" thickBot="1" x14ac:dyDescent="0.25"/>
    <row r="10" spans="2:11" ht="16" thickBot="1" x14ac:dyDescent="0.25">
      <c r="C10" s="84" t="s">
        <v>82</v>
      </c>
      <c r="D10" s="84" t="s">
        <v>83</v>
      </c>
      <c r="E10" s="84" t="s">
        <v>81</v>
      </c>
      <c r="F10" s="84" t="s">
        <v>102</v>
      </c>
      <c r="G10" s="84" t="s">
        <v>84</v>
      </c>
      <c r="H10" s="84" t="s">
        <v>102</v>
      </c>
      <c r="I10" s="84" t="s">
        <v>97</v>
      </c>
      <c r="J10" s="84" t="s">
        <v>96</v>
      </c>
      <c r="K10" s="84" t="s">
        <v>108</v>
      </c>
    </row>
    <row r="11" spans="2:11" ht="16" thickBot="1" x14ac:dyDescent="0.25">
      <c r="B11" s="150">
        <v>2011</v>
      </c>
      <c r="C11" s="80" t="s">
        <v>21</v>
      </c>
      <c r="D11" s="78">
        <v>4.1000000000000002E-2</v>
      </c>
      <c r="I11" s="80" t="s">
        <v>28</v>
      </c>
      <c r="J11" s="78">
        <f>D11</f>
        <v>4.1000000000000002E-2</v>
      </c>
      <c r="K11" s="88">
        <f>J11/$J$25</f>
        <v>4.5942992608027977E-2</v>
      </c>
    </row>
    <row r="12" spans="2:11" ht="16" thickBot="1" x14ac:dyDescent="0.25">
      <c r="B12" s="151"/>
      <c r="C12" s="114" t="s">
        <v>22</v>
      </c>
      <c r="D12" s="146">
        <v>0.40100000000000002</v>
      </c>
      <c r="E12" s="114" t="s">
        <v>85</v>
      </c>
      <c r="F12" s="146">
        <v>0.19600000000000001</v>
      </c>
      <c r="G12" s="114" t="s">
        <v>86</v>
      </c>
      <c r="H12" s="146">
        <v>0.121</v>
      </c>
      <c r="I12" s="80" t="s">
        <v>29</v>
      </c>
      <c r="J12" s="88">
        <f>D12*F12*H12</f>
        <v>9.5101160000000007E-3</v>
      </c>
      <c r="K12" s="88">
        <f>J12/$J$25</f>
        <v>1.0656663148524113E-2</v>
      </c>
    </row>
    <row r="13" spans="2:11" ht="16" thickBot="1" x14ac:dyDescent="0.25">
      <c r="B13" s="151"/>
      <c r="C13" s="122"/>
      <c r="D13" s="147"/>
      <c r="E13" s="122"/>
      <c r="F13" s="147"/>
      <c r="G13" s="115"/>
      <c r="H13" s="148"/>
      <c r="I13" s="80" t="s">
        <v>30</v>
      </c>
      <c r="J13" s="88">
        <f>D12*F12*H14</f>
        <v>1.8784444000000001E-2</v>
      </c>
      <c r="K13" s="88">
        <f t="shared" ref="K13:K24" si="0">J13/$J$25</f>
        <v>2.1049111508241843E-2</v>
      </c>
    </row>
    <row r="14" spans="2:11" ht="16" thickBot="1" x14ac:dyDescent="0.25">
      <c r="B14" s="151"/>
      <c r="C14" s="122"/>
      <c r="D14" s="147"/>
      <c r="E14" s="115"/>
      <c r="F14" s="148"/>
      <c r="G14" s="114" t="s">
        <v>87</v>
      </c>
      <c r="H14" s="146">
        <v>0.23899999999999999</v>
      </c>
      <c r="I14" s="80" t="s">
        <v>31</v>
      </c>
      <c r="J14" s="88">
        <f>D12*F12*H17</f>
        <v>4.0241152000000009E-2</v>
      </c>
      <c r="K14" s="88">
        <f t="shared" si="0"/>
        <v>4.5092657289622702E-2</v>
      </c>
    </row>
    <row r="15" spans="2:11" ht="16" thickBot="1" x14ac:dyDescent="0.25">
      <c r="B15" s="151"/>
      <c r="C15" s="122"/>
      <c r="D15" s="147"/>
      <c r="E15" s="85" t="s">
        <v>92</v>
      </c>
      <c r="F15" s="79">
        <v>0.443</v>
      </c>
      <c r="G15" s="122"/>
      <c r="H15" s="147"/>
      <c r="I15" s="80" t="s">
        <v>92</v>
      </c>
      <c r="J15" s="88">
        <f>D12*F15</f>
        <v>0.17764300000000002</v>
      </c>
      <c r="K15" s="88">
        <f t="shared" si="0"/>
        <v>0.19905978136263208</v>
      </c>
    </row>
    <row r="16" spans="2:11" ht="16" thickBot="1" x14ac:dyDescent="0.25">
      <c r="B16" s="151"/>
      <c r="C16" s="122"/>
      <c r="D16" s="147"/>
      <c r="E16" s="85" t="s">
        <v>91</v>
      </c>
      <c r="F16" s="79">
        <v>0</v>
      </c>
      <c r="G16" s="115"/>
      <c r="H16" s="148"/>
      <c r="I16" s="80" t="s">
        <v>91</v>
      </c>
      <c r="J16" s="88">
        <f>D12*F16</f>
        <v>0</v>
      </c>
      <c r="K16" s="88">
        <f t="shared" si="0"/>
        <v>0</v>
      </c>
    </row>
    <row r="17" spans="2:11" ht="16" thickBot="1" x14ac:dyDescent="0.25">
      <c r="B17" s="151"/>
      <c r="C17" s="122"/>
      <c r="D17" s="147"/>
      <c r="E17" s="114" t="s">
        <v>93</v>
      </c>
      <c r="F17" s="146">
        <v>0.36099999999999999</v>
      </c>
      <c r="G17" s="114" t="s">
        <v>88</v>
      </c>
      <c r="H17" s="146">
        <v>0.51200000000000001</v>
      </c>
      <c r="I17" s="80" t="s">
        <v>34</v>
      </c>
      <c r="J17" s="88">
        <f>D12*F17*H12</f>
        <v>1.7516080999999999E-2</v>
      </c>
      <c r="K17" s="88">
        <f t="shared" si="0"/>
        <v>1.9627833656210226E-2</v>
      </c>
    </row>
    <row r="18" spans="2:11" ht="16" thickBot="1" x14ac:dyDescent="0.25">
      <c r="B18" s="151"/>
      <c r="C18" s="122"/>
      <c r="D18" s="147"/>
      <c r="E18" s="122"/>
      <c r="F18" s="147"/>
      <c r="G18" s="122"/>
      <c r="H18" s="147"/>
      <c r="I18" s="80" t="s">
        <v>35</v>
      </c>
      <c r="J18" s="88">
        <f>D12*F17*H14</f>
        <v>3.4597878999999998E-2</v>
      </c>
      <c r="K18" s="88">
        <f t="shared" si="0"/>
        <v>3.876902680854747E-2</v>
      </c>
    </row>
    <row r="19" spans="2:11" ht="16" thickBot="1" x14ac:dyDescent="0.25">
      <c r="B19" s="151"/>
      <c r="C19" s="115"/>
      <c r="D19" s="148"/>
      <c r="E19" s="115"/>
      <c r="F19" s="148"/>
      <c r="G19" s="115"/>
      <c r="H19" s="148"/>
      <c r="I19" s="80" t="s">
        <v>36</v>
      </c>
      <c r="J19" s="88">
        <f>D12*F17*H17</f>
        <v>7.4117632000000003E-2</v>
      </c>
      <c r="K19" s="88">
        <f t="shared" si="0"/>
        <v>8.3053312660988726E-2</v>
      </c>
    </row>
    <row r="20" spans="2:11" ht="16" thickBot="1" x14ac:dyDescent="0.25">
      <c r="B20" s="151"/>
      <c r="C20" s="114" t="s">
        <v>23</v>
      </c>
      <c r="D20" s="146">
        <v>0.41099999999999998</v>
      </c>
      <c r="E20" s="83" t="s">
        <v>89</v>
      </c>
      <c r="F20" s="79">
        <v>0.38</v>
      </c>
      <c r="G20" s="136"/>
      <c r="H20" s="136"/>
      <c r="I20" s="80" t="s">
        <v>98</v>
      </c>
      <c r="J20" s="88">
        <f>D20*F20</f>
        <v>0.15617999999999999</v>
      </c>
      <c r="K20" s="88">
        <f t="shared" si="0"/>
        <v>0.17500918501272705</v>
      </c>
    </row>
    <row r="21" spans="2:11" ht="16" thickBot="1" x14ac:dyDescent="0.25">
      <c r="B21" s="151"/>
      <c r="C21" s="122"/>
      <c r="D21" s="147"/>
      <c r="E21" s="83" t="s">
        <v>90</v>
      </c>
      <c r="F21" s="79">
        <v>0.57199999999999995</v>
      </c>
      <c r="G21" s="136"/>
      <c r="H21" s="136"/>
      <c r="I21" s="80" t="s">
        <v>99</v>
      </c>
      <c r="J21" s="88">
        <f>D20*F21</f>
        <v>0.23509199999999997</v>
      </c>
      <c r="K21" s="88">
        <f t="shared" si="0"/>
        <v>0.26343487849284175</v>
      </c>
    </row>
    <row r="22" spans="2:11" ht="16" thickBot="1" x14ac:dyDescent="0.25">
      <c r="B22" s="151"/>
      <c r="C22" s="115"/>
      <c r="D22" s="148"/>
      <c r="E22" s="83" t="s">
        <v>91</v>
      </c>
      <c r="F22" s="79">
        <v>4.8000000000000001E-2</v>
      </c>
      <c r="G22" s="136"/>
      <c r="H22" s="136"/>
      <c r="I22" s="80" t="s">
        <v>100</v>
      </c>
      <c r="J22" s="88">
        <f>D20*F22</f>
        <v>1.9727999999999999E-2</v>
      </c>
      <c r="K22" s="88">
        <f t="shared" si="0"/>
        <v>2.2106423370028681E-2</v>
      </c>
    </row>
    <row r="23" spans="2:11" ht="16" thickBot="1" x14ac:dyDescent="0.25">
      <c r="B23" s="151"/>
      <c r="C23" s="83" t="s">
        <v>94</v>
      </c>
      <c r="D23" s="79">
        <v>4.3999999999999997E-2</v>
      </c>
      <c r="E23" s="149"/>
      <c r="F23" s="136"/>
      <c r="G23" s="136"/>
      <c r="H23" s="136"/>
      <c r="I23" s="80" t="s">
        <v>40</v>
      </c>
      <c r="J23" s="88">
        <f>D23</f>
        <v>4.3999999999999997E-2</v>
      </c>
      <c r="K23" s="88">
        <f t="shared" si="0"/>
        <v>4.9304674993981244E-2</v>
      </c>
    </row>
    <row r="24" spans="2:11" ht="16" thickBot="1" x14ac:dyDescent="0.25">
      <c r="B24" s="152"/>
      <c r="C24" s="82" t="s">
        <v>95</v>
      </c>
      <c r="D24" s="79">
        <v>2.4E-2</v>
      </c>
      <c r="E24" s="149"/>
      <c r="F24" s="136"/>
      <c r="G24" s="136"/>
      <c r="H24" s="136"/>
      <c r="I24" s="80" t="s">
        <v>41</v>
      </c>
      <c r="J24" s="88">
        <f>D24</f>
        <v>2.4E-2</v>
      </c>
      <c r="K24" s="88">
        <f t="shared" si="0"/>
        <v>2.6893459087626134E-2</v>
      </c>
    </row>
    <row r="25" spans="2:11" ht="16" thickBot="1" x14ac:dyDescent="0.25">
      <c r="D25" s="72"/>
      <c r="F25" s="72"/>
      <c r="H25" s="72"/>
      <c r="I25" s="86" t="s">
        <v>101</v>
      </c>
      <c r="J25" s="89">
        <f>SUM(J11:J24)</f>
        <v>0.89241030399999999</v>
      </c>
      <c r="K25" s="89">
        <f>SUM(K11:K24)</f>
        <v>1.0000000000000002</v>
      </c>
    </row>
    <row r="26" spans="2:11" x14ac:dyDescent="0.2">
      <c r="C26" s="87"/>
    </row>
    <row r="27" spans="2:11" ht="16" thickBot="1" x14ac:dyDescent="0.25"/>
    <row r="28" spans="2:11" ht="16" thickBot="1" x14ac:dyDescent="0.25">
      <c r="C28" s="84" t="s">
        <v>82</v>
      </c>
      <c r="D28" s="84" t="s">
        <v>83</v>
      </c>
      <c r="E28" s="84" t="s">
        <v>81</v>
      </c>
      <c r="F28" s="84" t="s">
        <v>102</v>
      </c>
      <c r="G28" s="84" t="s">
        <v>84</v>
      </c>
      <c r="H28" s="84" t="s">
        <v>102</v>
      </c>
      <c r="I28" s="84" t="s">
        <v>97</v>
      </c>
      <c r="J28" s="84" t="s">
        <v>96</v>
      </c>
      <c r="K28" s="84" t="s">
        <v>108</v>
      </c>
    </row>
    <row r="29" spans="2:11" ht="16" thickBot="1" x14ac:dyDescent="0.25">
      <c r="B29" s="150">
        <v>2025</v>
      </c>
      <c r="C29" s="80" t="s">
        <v>21</v>
      </c>
      <c r="D29" s="79">
        <v>-7.9000000000000001E-2</v>
      </c>
      <c r="I29" s="80" t="s">
        <v>28</v>
      </c>
      <c r="J29" s="78">
        <f>D29</f>
        <v>-7.9000000000000001E-2</v>
      </c>
      <c r="K29" s="90">
        <f>J29/$J$43</f>
        <v>-9.9111749958408199E-2</v>
      </c>
    </row>
    <row r="30" spans="2:11" ht="16" thickBot="1" x14ac:dyDescent="0.25">
      <c r="B30" s="151"/>
      <c r="C30" s="114" t="s">
        <v>22</v>
      </c>
      <c r="D30" s="146">
        <v>0.70599999999999996</v>
      </c>
      <c r="E30" s="114" t="s">
        <v>85</v>
      </c>
      <c r="F30" s="146">
        <v>0.20799999999999999</v>
      </c>
      <c r="G30" s="114" t="s">
        <v>86</v>
      </c>
      <c r="H30" s="146">
        <v>0.121</v>
      </c>
      <c r="I30" s="80" t="s">
        <v>29</v>
      </c>
      <c r="J30" s="90">
        <f>D30*F30*H30</f>
        <v>1.7768607999999998E-2</v>
      </c>
      <c r="K30" s="90">
        <f>J30/$J$43</f>
        <v>2.2292124470949005E-2</v>
      </c>
    </row>
    <row r="31" spans="2:11" ht="16" thickBot="1" x14ac:dyDescent="0.25">
      <c r="B31" s="151"/>
      <c r="C31" s="122"/>
      <c r="D31" s="147"/>
      <c r="E31" s="122"/>
      <c r="F31" s="147"/>
      <c r="G31" s="115"/>
      <c r="H31" s="148"/>
      <c r="I31" s="80" t="s">
        <v>30</v>
      </c>
      <c r="J31" s="90">
        <f>D30*F30*H32</f>
        <v>3.5096671999999995E-2</v>
      </c>
      <c r="K31" s="90">
        <f t="shared" ref="K31:K42" si="1">J31/$J$43</f>
        <v>4.4031551640965387E-2</v>
      </c>
    </row>
    <row r="32" spans="2:11" ht="16" thickBot="1" x14ac:dyDescent="0.25">
      <c r="B32" s="151"/>
      <c r="C32" s="122"/>
      <c r="D32" s="147"/>
      <c r="E32" s="115"/>
      <c r="F32" s="148"/>
      <c r="G32" s="114" t="s">
        <v>87</v>
      </c>
      <c r="H32" s="146">
        <v>0.23899999999999999</v>
      </c>
      <c r="I32" s="80" t="s">
        <v>31</v>
      </c>
      <c r="J32" s="90">
        <f>D30*F30*H35</f>
        <v>7.5186175999999993E-2</v>
      </c>
      <c r="K32" s="90">
        <f t="shared" si="1"/>
        <v>9.4327006025833812E-2</v>
      </c>
    </row>
    <row r="33" spans="2:11" ht="16" thickBot="1" x14ac:dyDescent="0.25">
      <c r="B33" s="151"/>
      <c r="C33" s="122"/>
      <c r="D33" s="147"/>
      <c r="E33" s="85" t="s">
        <v>92</v>
      </c>
      <c r="F33" s="79">
        <v>0.27800000000000002</v>
      </c>
      <c r="G33" s="122"/>
      <c r="H33" s="147"/>
      <c r="I33" s="80" t="s">
        <v>92</v>
      </c>
      <c r="J33" s="90">
        <f>D30*F33</f>
        <v>0.196268</v>
      </c>
      <c r="K33" s="90">
        <f t="shared" si="1"/>
        <v>0.24623373342831467</v>
      </c>
    </row>
    <row r="34" spans="2:11" ht="16" thickBot="1" x14ac:dyDescent="0.25">
      <c r="B34" s="151"/>
      <c r="C34" s="122"/>
      <c r="D34" s="147"/>
      <c r="E34" s="85" t="s">
        <v>91</v>
      </c>
      <c r="F34" s="79">
        <v>7.0000000000000007E-2</v>
      </c>
      <c r="G34" s="115"/>
      <c r="H34" s="148"/>
      <c r="I34" s="80" t="s">
        <v>91</v>
      </c>
      <c r="J34" s="90">
        <f>D30*F34</f>
        <v>4.9419999999999999E-2</v>
      </c>
      <c r="K34" s="90">
        <f t="shared" si="1"/>
        <v>6.200129978410801E-2</v>
      </c>
    </row>
    <row r="35" spans="2:11" ht="16" thickBot="1" x14ac:dyDescent="0.25">
      <c r="B35" s="151"/>
      <c r="C35" s="122"/>
      <c r="D35" s="147"/>
      <c r="E35" s="114" t="s">
        <v>93</v>
      </c>
      <c r="F35" s="146">
        <v>0.44400000000000001</v>
      </c>
      <c r="G35" s="114" t="s">
        <v>88</v>
      </c>
      <c r="H35" s="146">
        <v>0.51200000000000001</v>
      </c>
      <c r="I35" s="80" t="s">
        <v>34</v>
      </c>
      <c r="J35" s="90">
        <f>D30*F35*H30</f>
        <v>3.7929143999999998E-2</v>
      </c>
      <c r="K35" s="90">
        <f t="shared" si="1"/>
        <v>4.7585111851448841E-2</v>
      </c>
    </row>
    <row r="36" spans="2:11" ht="16" thickBot="1" x14ac:dyDescent="0.25">
      <c r="B36" s="151"/>
      <c r="C36" s="122"/>
      <c r="D36" s="147"/>
      <c r="E36" s="122"/>
      <c r="F36" s="147"/>
      <c r="G36" s="122"/>
      <c r="H36" s="147"/>
      <c r="I36" s="80" t="s">
        <v>35</v>
      </c>
      <c r="J36" s="90">
        <f>D30*F35*H32</f>
        <v>7.4917895999999984E-2</v>
      </c>
      <c r="K36" s="90">
        <f t="shared" si="1"/>
        <v>9.3990427541291499E-2</v>
      </c>
    </row>
    <row r="37" spans="2:11" ht="16" thickBot="1" x14ac:dyDescent="0.25">
      <c r="B37" s="151"/>
      <c r="C37" s="115"/>
      <c r="D37" s="148"/>
      <c r="E37" s="115"/>
      <c r="F37" s="148"/>
      <c r="G37" s="115"/>
      <c r="H37" s="148"/>
      <c r="I37" s="80" t="s">
        <v>36</v>
      </c>
      <c r="J37" s="90">
        <f>D30*F35*H35</f>
        <v>0.16049356799999998</v>
      </c>
      <c r="K37" s="90">
        <f t="shared" si="1"/>
        <v>0.20135187824745293</v>
      </c>
    </row>
    <row r="38" spans="2:11" ht="16" thickBot="1" x14ac:dyDescent="0.25">
      <c r="B38" s="151"/>
      <c r="C38" s="114" t="s">
        <v>23</v>
      </c>
      <c r="D38" s="146">
        <v>0.151</v>
      </c>
      <c r="E38" s="83" t="s">
        <v>89</v>
      </c>
      <c r="F38" s="79">
        <v>4.9000000000000002E-2</v>
      </c>
      <c r="G38" s="149"/>
      <c r="H38" s="149"/>
      <c r="I38" s="80" t="s">
        <v>98</v>
      </c>
      <c r="J38" s="90">
        <f>D38*F38</f>
        <v>7.3990000000000002E-3</v>
      </c>
      <c r="K38" s="90">
        <f t="shared" si="1"/>
        <v>9.2826308600286369E-3</v>
      </c>
    </row>
    <row r="39" spans="2:11" ht="16" thickBot="1" x14ac:dyDescent="0.25">
      <c r="B39" s="151"/>
      <c r="C39" s="122"/>
      <c r="D39" s="147"/>
      <c r="E39" s="83" t="s">
        <v>90</v>
      </c>
      <c r="F39" s="79">
        <v>0.50600000000000001</v>
      </c>
      <c r="G39" s="149"/>
      <c r="H39" s="149"/>
      <c r="I39" s="80" t="s">
        <v>99</v>
      </c>
      <c r="J39" s="90">
        <f>D38*F39</f>
        <v>7.6406000000000002E-2</v>
      </c>
      <c r="K39" s="90">
        <f t="shared" si="1"/>
        <v>9.5857371738254898E-2</v>
      </c>
    </row>
    <row r="40" spans="2:11" ht="16" thickBot="1" x14ac:dyDescent="0.25">
      <c r="B40" s="151"/>
      <c r="C40" s="115"/>
      <c r="D40" s="148"/>
      <c r="E40" s="83" t="s">
        <v>91</v>
      </c>
      <c r="F40" s="79">
        <v>0.44500000000000001</v>
      </c>
      <c r="G40" s="149"/>
      <c r="H40" s="149"/>
      <c r="I40" s="80" t="s">
        <v>100</v>
      </c>
      <c r="J40" s="90">
        <f>D38*F40</f>
        <v>6.7195000000000005E-2</v>
      </c>
      <c r="K40" s="90">
        <f t="shared" si="1"/>
        <v>8.4301443524749858E-2</v>
      </c>
    </row>
    <row r="41" spans="2:11" ht="16" thickBot="1" x14ac:dyDescent="0.25">
      <c r="B41" s="151"/>
      <c r="C41" s="83" t="s">
        <v>94</v>
      </c>
      <c r="D41" s="79">
        <v>0.05</v>
      </c>
      <c r="E41" s="149"/>
      <c r="F41" s="149"/>
      <c r="G41" s="149"/>
      <c r="H41" s="149"/>
      <c r="I41" s="80" t="s">
        <v>40</v>
      </c>
      <c r="J41" s="90">
        <f>D41</f>
        <v>0.05</v>
      </c>
      <c r="K41" s="90">
        <f t="shared" si="1"/>
        <v>6.2728955669878614E-2</v>
      </c>
    </row>
    <row r="42" spans="2:11" ht="16" thickBot="1" x14ac:dyDescent="0.25">
      <c r="B42" s="152"/>
      <c r="C42" s="83" t="s">
        <v>95</v>
      </c>
      <c r="D42" s="79">
        <v>2.8000000000000001E-2</v>
      </c>
      <c r="E42" s="149"/>
      <c r="F42" s="149"/>
      <c r="G42" s="149"/>
      <c r="H42" s="149"/>
      <c r="I42" s="80" t="s">
        <v>41</v>
      </c>
      <c r="J42" s="90">
        <f>D42</f>
        <v>2.8000000000000001E-2</v>
      </c>
      <c r="K42" s="90">
        <f t="shared" si="1"/>
        <v>3.5128215175132017E-2</v>
      </c>
    </row>
    <row r="43" spans="2:11" ht="16" thickBot="1" x14ac:dyDescent="0.25">
      <c r="C43" s="87"/>
      <c r="I43" s="86" t="s">
        <v>101</v>
      </c>
      <c r="J43" s="91">
        <f>SUM(J29:J42)</f>
        <v>0.79708006399999998</v>
      </c>
      <c r="K43" s="91">
        <f>SUM(K29:K42)</f>
        <v>1</v>
      </c>
    </row>
    <row r="44" spans="2:11" x14ac:dyDescent="0.2">
      <c r="C44" s="87"/>
      <c r="I44" s="87"/>
      <c r="J44" s="113"/>
      <c r="K44" s="113"/>
    </row>
    <row r="45" spans="2:11" ht="16" thickBot="1" x14ac:dyDescent="0.25"/>
    <row r="46" spans="2:11" ht="16" thickBot="1" x14ac:dyDescent="0.25">
      <c r="B46" s="80" t="s">
        <v>121</v>
      </c>
      <c r="C46" s="80" t="s">
        <v>122</v>
      </c>
      <c r="D46" s="80" t="s">
        <v>123</v>
      </c>
      <c r="E46" s="83" t="s">
        <v>124</v>
      </c>
      <c r="F46" s="80" t="s">
        <v>125</v>
      </c>
      <c r="G46" s="80" t="s">
        <v>126</v>
      </c>
      <c r="I46" s="192"/>
      <c r="J46" s="192"/>
    </row>
    <row r="47" spans="2:11" ht="31" customHeight="1" thickBot="1" x14ac:dyDescent="0.25">
      <c r="B47" s="83">
        <v>2011</v>
      </c>
      <c r="C47" s="79">
        <f>968.5*1000</f>
        <v>968500</v>
      </c>
      <c r="D47" s="79">
        <f>969.7*1000</f>
        <v>969700</v>
      </c>
      <c r="E47" s="79">
        <v>6432</v>
      </c>
      <c r="F47" s="111">
        <f>C47/$E47</f>
        <v>150.57524875621891</v>
      </c>
      <c r="G47" s="111">
        <f>D47/$E47</f>
        <v>150.76181592039802</v>
      </c>
      <c r="I47" s="193"/>
      <c r="J47" s="193"/>
    </row>
    <row r="48" spans="2:11" ht="35" customHeight="1" thickBot="1" x14ac:dyDescent="0.25">
      <c r="B48" s="82">
        <v>2025</v>
      </c>
      <c r="C48" s="77">
        <f>1068.1*1000</f>
        <v>1068100</v>
      </c>
      <c r="D48" s="77">
        <f>854.2*1000</f>
        <v>854200</v>
      </c>
      <c r="E48" s="77">
        <v>4838</v>
      </c>
      <c r="F48" s="112">
        <f>C48/$E48</f>
        <v>220.77304671351797</v>
      </c>
      <c r="G48" s="112">
        <f>D48/$E48</f>
        <v>176.56056221579166</v>
      </c>
      <c r="I48" s="193"/>
      <c r="J48" s="193"/>
    </row>
    <row r="49" spans="9:10" ht="30" customHeight="1" x14ac:dyDescent="0.2">
      <c r="I49" s="193"/>
      <c r="J49" s="193"/>
    </row>
    <row r="50" spans="9:10" ht="30" customHeight="1" x14ac:dyDescent="0.2">
      <c r="I50" s="194"/>
      <c r="J50" s="193"/>
    </row>
  </sheetData>
  <mergeCells count="44">
    <mergeCell ref="B11:B24"/>
    <mergeCell ref="C2:J2"/>
    <mergeCell ref="C3:J3"/>
    <mergeCell ref="C4:J4"/>
    <mergeCell ref="E12:E14"/>
    <mergeCell ref="G12:G13"/>
    <mergeCell ref="G14:G16"/>
    <mergeCell ref="G17:G19"/>
    <mergeCell ref="C20:C22"/>
    <mergeCell ref="D20:D22"/>
    <mergeCell ref="C12:C19"/>
    <mergeCell ref="D12:D19"/>
    <mergeCell ref="H12:H13"/>
    <mergeCell ref="H14:H16"/>
    <mergeCell ref="H17:H19"/>
    <mergeCell ref="H20:H24"/>
    <mergeCell ref="B29:B42"/>
    <mergeCell ref="C30:C37"/>
    <mergeCell ref="D30:D37"/>
    <mergeCell ref="E30:E32"/>
    <mergeCell ref="F30:F32"/>
    <mergeCell ref="G30:G31"/>
    <mergeCell ref="E23:E24"/>
    <mergeCell ref="F12:F14"/>
    <mergeCell ref="F17:F19"/>
    <mergeCell ref="F23:F24"/>
    <mergeCell ref="G20:G24"/>
    <mergeCell ref="E17:E19"/>
    <mergeCell ref="C5:J5"/>
    <mergeCell ref="C6:J6"/>
    <mergeCell ref="C7:J7"/>
    <mergeCell ref="C38:C40"/>
    <mergeCell ref="D38:D40"/>
    <mergeCell ref="G38:G42"/>
    <mergeCell ref="H38:H42"/>
    <mergeCell ref="E41:E42"/>
    <mergeCell ref="F41:F42"/>
    <mergeCell ref="H30:H31"/>
    <mergeCell ref="G32:G34"/>
    <mergeCell ref="H32:H34"/>
    <mergeCell ref="E35:E37"/>
    <mergeCell ref="F35:F37"/>
    <mergeCell ref="G35:G37"/>
    <mergeCell ref="H35:H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69"/>
  <sheetViews>
    <sheetView workbookViewId="0">
      <pane xSplit="1" ySplit="22" topLeftCell="B93" activePane="bottomRight" state="frozen"/>
      <selection pane="topRight"/>
      <selection pane="bottomLeft"/>
      <selection pane="bottomRight" activeCell="AN19" sqref="AN19"/>
    </sheetView>
  </sheetViews>
  <sheetFormatPr baseColWidth="10" defaultColWidth="15.6640625" defaultRowHeight="15" x14ac:dyDescent="0.2"/>
  <cols>
    <col min="1" max="1" width="7.5" bestFit="1" customWidth="1"/>
    <col min="3" max="3" width="19.83203125" style="3" customWidth="1"/>
    <col min="4" max="4" width="9.5" customWidth="1"/>
    <col min="5" max="5" width="16.6640625" bestFit="1" customWidth="1"/>
    <col min="6" max="6" width="31.5" bestFit="1" customWidth="1"/>
    <col min="7" max="7" width="17.83203125" bestFit="1" customWidth="1"/>
    <col min="8" max="8" width="23.5" style="4" bestFit="1" customWidth="1"/>
    <col min="9" max="9" width="18" style="4" bestFit="1" customWidth="1"/>
    <col min="10" max="10" width="28.5" style="4" bestFit="1" customWidth="1"/>
    <col min="11" max="11" width="21.1640625" bestFit="1" customWidth="1"/>
    <col min="12" max="13" width="18" bestFit="1" customWidth="1"/>
    <col min="15" max="18" width="18" style="4" bestFit="1" customWidth="1"/>
    <col min="20" max="20" width="18" style="4" bestFit="1" customWidth="1"/>
    <col min="21" max="21" width="18" bestFit="1" customWidth="1"/>
    <col min="22" max="24" width="18" style="4" bestFit="1" customWidth="1"/>
    <col min="25" max="25" width="17.83203125" bestFit="1" customWidth="1"/>
    <col min="26" max="26" width="18" bestFit="1" customWidth="1"/>
    <col min="27" max="30" width="16.5" customWidth="1"/>
    <col min="35" max="35" width="15.83203125" customWidth="1"/>
    <col min="37" max="37" width="16.83203125" bestFit="1" customWidth="1"/>
    <col min="39" max="39" width="36.5" bestFit="1" customWidth="1"/>
  </cols>
  <sheetData>
    <row r="1" spans="3:11" ht="16" thickBot="1" x14ac:dyDescent="0.25"/>
    <row r="2" spans="3:11" ht="16" thickBot="1" x14ac:dyDescent="0.25">
      <c r="C2" s="159" t="s">
        <v>1</v>
      </c>
      <c r="D2" s="160"/>
      <c r="E2" s="160"/>
      <c r="F2" s="160"/>
      <c r="G2" s="160"/>
      <c r="H2" s="160"/>
      <c r="I2" s="160"/>
      <c r="J2" s="160"/>
      <c r="K2" s="161"/>
    </row>
    <row r="3" spans="3:11" x14ac:dyDescent="0.2">
      <c r="C3" s="165" t="s">
        <v>2</v>
      </c>
      <c r="D3" s="166"/>
      <c r="E3" s="166"/>
      <c r="F3" s="166"/>
      <c r="G3" s="166"/>
      <c r="H3" s="166"/>
      <c r="I3" s="166"/>
      <c r="J3" s="166"/>
      <c r="K3" s="167"/>
    </row>
    <row r="4" spans="3:11" x14ac:dyDescent="0.2">
      <c r="C4" s="168" t="s">
        <v>3</v>
      </c>
      <c r="D4" s="169"/>
      <c r="E4" s="169"/>
      <c r="F4" s="169"/>
      <c r="G4" s="169"/>
      <c r="H4" s="169"/>
      <c r="I4" s="169"/>
      <c r="J4" s="169"/>
      <c r="K4" s="170"/>
    </row>
    <row r="5" spans="3:11" x14ac:dyDescent="0.2">
      <c r="C5" s="168" t="s">
        <v>4</v>
      </c>
      <c r="D5" s="169"/>
      <c r="E5" s="169"/>
      <c r="F5" s="169"/>
      <c r="G5" s="169"/>
      <c r="H5" s="169"/>
      <c r="I5" s="169"/>
      <c r="J5" s="169"/>
      <c r="K5" s="170"/>
    </row>
    <row r="6" spans="3:11" x14ac:dyDescent="0.2">
      <c r="C6" s="168" t="s">
        <v>131</v>
      </c>
      <c r="D6" s="169"/>
      <c r="E6" s="169"/>
      <c r="F6" s="169"/>
      <c r="G6" s="169"/>
      <c r="H6" s="169"/>
      <c r="I6" s="169"/>
      <c r="J6" s="169"/>
      <c r="K6" s="170"/>
    </row>
    <row r="7" spans="3:11" x14ac:dyDescent="0.2">
      <c r="C7" s="168" t="s">
        <v>5</v>
      </c>
      <c r="D7" s="169"/>
      <c r="E7" s="169"/>
      <c r="F7" s="169"/>
      <c r="G7" s="169"/>
      <c r="H7" s="169"/>
      <c r="I7" s="169"/>
      <c r="J7" s="169"/>
      <c r="K7" s="170"/>
    </row>
    <row r="8" spans="3:11" x14ac:dyDescent="0.2">
      <c r="C8" s="168" t="s">
        <v>6</v>
      </c>
      <c r="D8" s="169"/>
      <c r="E8" s="169"/>
      <c r="F8" s="169"/>
      <c r="G8" s="169"/>
      <c r="H8" s="169"/>
      <c r="I8" s="169"/>
      <c r="J8" s="169"/>
      <c r="K8" s="170"/>
    </row>
    <row r="9" spans="3:11" x14ac:dyDescent="0.2">
      <c r="C9" s="168" t="s">
        <v>7</v>
      </c>
      <c r="D9" s="169"/>
      <c r="E9" s="169"/>
      <c r="F9" s="169"/>
      <c r="G9" s="169"/>
      <c r="H9" s="169"/>
      <c r="I9" s="169"/>
      <c r="J9" s="169"/>
      <c r="K9" s="170"/>
    </row>
    <row r="10" spans="3:11" x14ac:dyDescent="0.2">
      <c r="C10" s="171" t="s">
        <v>8</v>
      </c>
      <c r="D10" s="172"/>
      <c r="E10" s="172"/>
      <c r="F10" s="172"/>
      <c r="G10" s="172"/>
      <c r="H10" s="172"/>
      <c r="I10" s="172"/>
      <c r="J10" s="172"/>
      <c r="K10" s="173"/>
    </row>
    <row r="11" spans="3:11" ht="16" thickBot="1" x14ac:dyDescent="0.25">
      <c r="C11" s="174" t="s">
        <v>9</v>
      </c>
      <c r="D11" s="175"/>
      <c r="E11" s="175"/>
      <c r="F11" s="175"/>
      <c r="G11" s="175"/>
      <c r="H11" s="175"/>
      <c r="I11" s="175"/>
      <c r="J11" s="175"/>
      <c r="K11" s="176"/>
    </row>
    <row r="12" spans="3:11" ht="16" thickBot="1" x14ac:dyDescent="0.25">
      <c r="C12" s="8"/>
    </row>
    <row r="13" spans="3:11" ht="15.75" customHeight="1" thickBot="1" x14ac:dyDescent="0.25">
      <c r="C13" s="129" t="s">
        <v>10</v>
      </c>
      <c r="D13" s="130"/>
      <c r="F13" s="162" t="s">
        <v>11</v>
      </c>
      <c r="G13" s="163"/>
      <c r="H13" s="163"/>
      <c r="I13" s="163"/>
      <c r="J13" s="163"/>
      <c r="K13" s="164"/>
    </row>
    <row r="14" spans="3:11" x14ac:dyDescent="0.2">
      <c r="C14" s="27" t="s">
        <v>12</v>
      </c>
      <c r="D14" s="95">
        <f>Summary!J29</f>
        <v>0.6</v>
      </c>
      <c r="F14" s="45" t="s">
        <v>13</v>
      </c>
      <c r="G14" s="105">
        <f>Summary!C29</f>
        <v>150.57524875621891</v>
      </c>
      <c r="H14" s="70" t="s">
        <v>14</v>
      </c>
      <c r="I14" s="42">
        <f>AVERAGE(AK23:AK166)</f>
        <v>0.46493439177594786</v>
      </c>
      <c r="J14" s="45" t="s">
        <v>114</v>
      </c>
      <c r="K14" s="105">
        <f>AVERAGE(AM23:AM166)</f>
        <v>70.011476559593035</v>
      </c>
    </row>
    <row r="15" spans="3:11" x14ac:dyDescent="0.2">
      <c r="C15" s="27" t="s">
        <v>15</v>
      </c>
      <c r="D15" s="95">
        <f>Summary!J30</f>
        <v>0.2</v>
      </c>
      <c r="F15" s="46" t="s">
        <v>16</v>
      </c>
      <c r="G15" s="106">
        <f>Summary!C30</f>
        <v>150.76181592039802</v>
      </c>
      <c r="H15" s="71" t="s">
        <v>118</v>
      </c>
      <c r="I15" s="43">
        <f>_xlfn.STDEV.S(AK23:AK166)</f>
        <v>1.8680774175623258</v>
      </c>
      <c r="J15" s="46" t="s">
        <v>115</v>
      </c>
      <c r="K15" s="106">
        <f>PERCENTILE(AM23:AM166,1-G16)</f>
        <v>-405.38622488717232</v>
      </c>
    </row>
    <row r="16" spans="3:11" ht="16" thickBot="1" x14ac:dyDescent="0.25">
      <c r="C16" s="27" t="s">
        <v>17</v>
      </c>
      <c r="D16" s="95">
        <f>Summary!J31</f>
        <v>0.2</v>
      </c>
      <c r="F16" s="47" t="s">
        <v>18</v>
      </c>
      <c r="G16" s="97">
        <f>Summary!C31</f>
        <v>0.95</v>
      </c>
      <c r="H16" s="71" t="s">
        <v>119</v>
      </c>
      <c r="I16" s="43">
        <f>SKEW(AK23:AK166)</f>
        <v>-0.50018282484239229</v>
      </c>
      <c r="J16" s="46" t="s">
        <v>116</v>
      </c>
      <c r="K16" s="106" cm="1">
        <f t="array" ref="K16">AVERAGE(_xlfn._xlws.FILTER(AM23:AM166,AM23:AM166&lt;K15,""))</f>
        <v>-592.051117545539</v>
      </c>
    </row>
    <row r="17" spans="1:39" ht="16" thickBot="1" x14ac:dyDescent="0.25">
      <c r="C17" s="28" t="s">
        <v>19</v>
      </c>
      <c r="D17" s="96">
        <f>Summary!J32</f>
        <v>0.2</v>
      </c>
      <c r="F17" s="48" t="s">
        <v>20</v>
      </c>
      <c r="G17" s="59">
        <f>G14/G15</f>
        <v>0.99876250386717536</v>
      </c>
      <c r="H17" s="48" t="s">
        <v>120</v>
      </c>
      <c r="I17" s="49">
        <f>KURT(AK23:AK166)</f>
        <v>1.3726364632315669</v>
      </c>
      <c r="J17" s="48" t="s">
        <v>117</v>
      </c>
      <c r="K17" s="107">
        <f>MIN(AM23:AM166)</f>
        <v>-1033.3514960366413</v>
      </c>
    </row>
    <row r="18" spans="1:39" ht="16" thickBot="1" x14ac:dyDescent="0.25"/>
    <row r="19" spans="1:39" ht="16" thickBot="1" x14ac:dyDescent="0.25">
      <c r="C19" s="33" t="s">
        <v>21</v>
      </c>
      <c r="E19" s="137" t="s">
        <v>22</v>
      </c>
      <c r="F19" s="138"/>
      <c r="G19" s="138"/>
      <c r="H19" s="138"/>
      <c r="I19" s="138"/>
      <c r="J19" s="138"/>
      <c r="K19" s="138"/>
      <c r="L19" s="138"/>
      <c r="M19" s="139"/>
      <c r="O19" s="180" t="s">
        <v>23</v>
      </c>
      <c r="P19" s="181"/>
      <c r="Q19" s="181"/>
      <c r="R19" s="182"/>
      <c r="T19" s="137" t="s">
        <v>24</v>
      </c>
      <c r="U19" s="138"/>
      <c r="V19" s="138"/>
      <c r="W19" s="138"/>
      <c r="X19" s="138"/>
      <c r="Y19" s="138"/>
      <c r="Z19" s="139"/>
      <c r="AC19" s="153" t="s">
        <v>25</v>
      </c>
      <c r="AD19" s="154"/>
      <c r="AE19" s="154"/>
      <c r="AF19" s="154"/>
      <c r="AG19" s="154"/>
      <c r="AH19" s="155"/>
      <c r="AK19" s="32" t="s">
        <v>26</v>
      </c>
      <c r="AM19" s="32" t="s">
        <v>27</v>
      </c>
    </row>
    <row r="20" spans="1:39" ht="16" thickBot="1" x14ac:dyDescent="0.25">
      <c r="C20" s="29" t="s">
        <v>28</v>
      </c>
      <c r="E20" s="30" t="s">
        <v>29</v>
      </c>
      <c r="F20" s="30" t="s">
        <v>30</v>
      </c>
      <c r="G20" s="30" t="s">
        <v>31</v>
      </c>
      <c r="H20" s="50" t="s">
        <v>32</v>
      </c>
      <c r="I20" s="184" t="s">
        <v>33</v>
      </c>
      <c r="J20" s="184"/>
      <c r="K20" s="30" t="s">
        <v>34</v>
      </c>
      <c r="L20" s="30" t="s">
        <v>35</v>
      </c>
      <c r="M20" s="30" t="s">
        <v>36</v>
      </c>
      <c r="O20" s="50" t="s">
        <v>37</v>
      </c>
      <c r="P20" s="50" t="s">
        <v>38</v>
      </c>
      <c r="Q20" s="184" t="s">
        <v>39</v>
      </c>
      <c r="R20" s="184"/>
      <c r="T20" s="179" t="s">
        <v>40</v>
      </c>
      <c r="U20" s="179"/>
      <c r="V20" s="179" t="s">
        <v>41</v>
      </c>
      <c r="W20" s="179"/>
      <c r="X20" s="179"/>
      <c r="Y20" s="179"/>
      <c r="Z20" s="179"/>
      <c r="AA20" s="36" t="s">
        <v>42</v>
      </c>
      <c r="AB20" s="36"/>
      <c r="AC20" s="36" t="s">
        <v>29</v>
      </c>
      <c r="AD20" s="36" t="s">
        <v>30</v>
      </c>
      <c r="AE20" s="30" t="s">
        <v>31</v>
      </c>
      <c r="AF20" s="30" t="s">
        <v>34</v>
      </c>
      <c r="AG20" s="30" t="s">
        <v>35</v>
      </c>
      <c r="AH20" s="30" t="s">
        <v>36</v>
      </c>
      <c r="AI20" s="30" t="s">
        <v>42</v>
      </c>
      <c r="AK20" s="30" t="s">
        <v>43</v>
      </c>
      <c r="AM20" s="30" t="s">
        <v>44</v>
      </c>
    </row>
    <row r="21" spans="1:39" ht="16" thickBot="1" x14ac:dyDescent="0.25">
      <c r="B21" s="1" t="s">
        <v>45</v>
      </c>
      <c r="C21" s="99">
        <f>Summary!K35</f>
        <v>4.5942992608027977E-2</v>
      </c>
      <c r="D21" s="100"/>
      <c r="E21" s="101">
        <f>Summary!K36</f>
        <v>1.0656663148524113E-2</v>
      </c>
      <c r="F21" s="99">
        <f>Summary!K37</f>
        <v>2.1049111508241843E-2</v>
      </c>
      <c r="G21" s="102">
        <f>Summary!K38</f>
        <v>4.5092657289622702E-2</v>
      </c>
      <c r="H21" s="101">
        <f>Summary!K39</f>
        <v>0.19905978136263208</v>
      </c>
      <c r="I21" s="177">
        <f>Summary!K40</f>
        <v>0</v>
      </c>
      <c r="J21" s="183"/>
      <c r="K21" s="102">
        <f>Summary!K41</f>
        <v>1.9627833656210226E-2</v>
      </c>
      <c r="L21" s="99">
        <f>Summary!K42</f>
        <v>3.876902680854747E-2</v>
      </c>
      <c r="M21" s="103">
        <f>Summary!K43</f>
        <v>8.3053312660988726E-2</v>
      </c>
      <c r="N21" s="100"/>
      <c r="O21" s="101">
        <f>Summary!K44</f>
        <v>0.17500918501272705</v>
      </c>
      <c r="P21" s="101">
        <f>Summary!K45</f>
        <v>0.26343487849284175</v>
      </c>
      <c r="Q21" s="177">
        <f>Summary!K46</f>
        <v>2.2106423370028681E-2</v>
      </c>
      <c r="R21" s="183"/>
      <c r="S21" s="100"/>
      <c r="T21" s="177">
        <f>Summary!K47</f>
        <v>4.9304674993981244E-2</v>
      </c>
      <c r="U21" s="178"/>
      <c r="V21" s="177">
        <f>Summary!K48</f>
        <v>2.6893459087626134E-2</v>
      </c>
      <c r="W21" s="178"/>
      <c r="X21" s="178"/>
      <c r="Y21" s="178"/>
      <c r="Z21" s="178"/>
      <c r="AA21" s="208">
        <f>SUM(C21:Z21)</f>
        <v>1.0000000000000002</v>
      </c>
      <c r="AB21" s="104"/>
      <c r="AC21" s="209">
        <f>Summary!I52</f>
        <v>6.6666666666666666E-2</v>
      </c>
      <c r="AD21" s="209">
        <f>Summary!I53</f>
        <v>0.1</v>
      </c>
      <c r="AE21" s="102">
        <f>Summary!I54</f>
        <v>8.3333333333333329E-2</v>
      </c>
      <c r="AF21" s="204">
        <f>Summary!I55</f>
        <v>0.2</v>
      </c>
      <c r="AG21" s="204">
        <f>Summary!I56</f>
        <v>0.30000000000000004</v>
      </c>
      <c r="AH21" s="101">
        <f>Summary!I57</f>
        <v>0.25</v>
      </c>
      <c r="AI21" s="208">
        <f>SUM(AE21:AH21)</f>
        <v>0.83333333333333337</v>
      </c>
      <c r="AJ21" s="100"/>
      <c r="AK21" s="208">
        <f>G14/G15</f>
        <v>0.99876250386717536</v>
      </c>
      <c r="AM21" s="108">
        <f>G14-G15</f>
        <v>-0.18656716417910957</v>
      </c>
    </row>
    <row r="22" spans="1:39" ht="49" thickBot="1" x14ac:dyDescent="0.25">
      <c r="A22" s="9" t="s">
        <v>46</v>
      </c>
      <c r="B22" s="10"/>
      <c r="C22" s="14" t="s">
        <v>47</v>
      </c>
      <c r="D22" s="10"/>
      <c r="E22" s="9" t="s">
        <v>48</v>
      </c>
      <c r="F22" s="11" t="s">
        <v>49</v>
      </c>
      <c r="G22" s="11" t="s">
        <v>50</v>
      </c>
      <c r="H22" s="20" t="s">
        <v>51</v>
      </c>
      <c r="I22" s="20" t="s">
        <v>52</v>
      </c>
      <c r="J22" s="12" t="s">
        <v>53</v>
      </c>
      <c r="K22" s="9" t="s">
        <v>54</v>
      </c>
      <c r="L22" s="11" t="s">
        <v>55</v>
      </c>
      <c r="M22" s="13" t="s">
        <v>56</v>
      </c>
      <c r="N22" s="10"/>
      <c r="O22" s="20" t="s">
        <v>57</v>
      </c>
      <c r="P22" s="20" t="s">
        <v>58</v>
      </c>
      <c r="Q22" s="20" t="s">
        <v>59</v>
      </c>
      <c r="R22" s="21" t="s">
        <v>60</v>
      </c>
      <c r="S22" s="10"/>
      <c r="T22" s="20" t="s">
        <v>61</v>
      </c>
      <c r="U22" s="11" t="s">
        <v>62</v>
      </c>
      <c r="V22" s="20" t="s">
        <v>63</v>
      </c>
      <c r="W22" s="12" t="s">
        <v>64</v>
      </c>
      <c r="X22" s="12" t="s">
        <v>65</v>
      </c>
      <c r="Y22" s="11" t="s">
        <v>66</v>
      </c>
      <c r="Z22" s="11" t="s">
        <v>67</v>
      </c>
      <c r="AA22" s="199" t="s">
        <v>68</v>
      </c>
      <c r="AB22" s="40"/>
      <c r="AC22" s="207" t="s">
        <v>48</v>
      </c>
      <c r="AD22" s="203" t="s">
        <v>49</v>
      </c>
      <c r="AE22" s="11" t="s">
        <v>50</v>
      </c>
      <c r="AF22" s="203" t="s">
        <v>54</v>
      </c>
      <c r="AG22" s="203" t="s">
        <v>55</v>
      </c>
      <c r="AH22" s="11" t="s">
        <v>56</v>
      </c>
      <c r="AI22" s="199" t="s">
        <v>69</v>
      </c>
      <c r="AK22" s="199" t="s">
        <v>70</v>
      </c>
      <c r="AM22" s="41" t="s">
        <v>71</v>
      </c>
    </row>
    <row r="23" spans="1:39" x14ac:dyDescent="0.2">
      <c r="A23" s="24">
        <v>41455</v>
      </c>
      <c r="B23" s="4"/>
      <c r="C23" s="25">
        <v>3.5433333333333303E-2</v>
      </c>
      <c r="D23" s="4"/>
      <c r="E23" s="15">
        <v>6.083333333333333E-2</v>
      </c>
      <c r="F23" s="4">
        <v>0.21833333333333335</v>
      </c>
      <c r="G23" s="4">
        <v>0.29416666666666663</v>
      </c>
      <c r="H23" s="15">
        <v>-5.02028835127365</v>
      </c>
      <c r="I23" s="15">
        <v>0.92171577824375905</v>
      </c>
      <c r="J23" s="4">
        <f>I23</f>
        <v>0.92171577824375905</v>
      </c>
      <c r="K23" s="15">
        <v>-0.13666666666666666</v>
      </c>
      <c r="L23" s="4">
        <v>-2.9166666666666664E-2</v>
      </c>
      <c r="M23" s="16">
        <v>3.3333333333333335E-3</v>
      </c>
      <c r="N23" s="4"/>
      <c r="O23" s="22">
        <v>-5.5657561800000002</v>
      </c>
      <c r="P23" s="22">
        <v>-3.260377327</v>
      </c>
      <c r="Q23" s="22">
        <v>-2.3700615169999999</v>
      </c>
      <c r="R23" s="22">
        <f>Q23</f>
        <v>-2.3700615169999999</v>
      </c>
      <c r="S23" s="4"/>
      <c r="T23" s="22">
        <v>-3.709326345</v>
      </c>
      <c r="U23" s="22">
        <f>T23</f>
        <v>-3.709326345</v>
      </c>
      <c r="V23" s="22">
        <v>-2.7117729819999998</v>
      </c>
      <c r="W23" s="4">
        <f>V23</f>
        <v>-2.7117729819999998</v>
      </c>
      <c r="X23" s="4">
        <v>7.4999999999999997E-3</v>
      </c>
      <c r="Y23" s="4">
        <f t="shared" ref="Y23:Y62" si="0">C23-X23</f>
        <v>2.7933333333333303E-2</v>
      </c>
      <c r="Z23" s="4">
        <f t="shared" ref="Z23:Z61" si="1">W23+Y23</f>
        <v>-2.6838396486666665</v>
      </c>
      <c r="AA23" s="37">
        <f>$C$21*C23+SUMPRODUCT($E$21:$H$21,E23:H23)+$I$21*J23+SUMPRODUCT($K$21:$M$21,K23:M23)+SUMPRODUCT($O$21:$P$21,O23:P23)+$Q$21*R23+$T$21*U23+$V$21*Z23</f>
        <v>-3.1231512210139143</v>
      </c>
      <c r="AB23" s="35"/>
      <c r="AC23" s="205">
        <f>E23</f>
        <v>6.083333333333333E-2</v>
      </c>
      <c r="AD23" s="205">
        <f>F23</f>
        <v>0.21833333333333335</v>
      </c>
      <c r="AE23" s="202">
        <f>G23</f>
        <v>0.29416666666666663</v>
      </c>
      <c r="AF23" s="15">
        <f t="shared" ref="AF23:AF54" si="2">K23</f>
        <v>-0.13666666666666666</v>
      </c>
      <c r="AG23" s="15">
        <f t="shared" ref="AG23:AG54" si="3">L23</f>
        <v>-2.9166666666666664E-2</v>
      </c>
      <c r="AH23" s="15">
        <f>M23</f>
        <v>3.3333333333333335E-3</v>
      </c>
      <c r="AI23" s="200">
        <f>SUMPRODUCT($AC$21:$AH$21,AC23:AH23)</f>
        <v>1.5152777777777774E-2</v>
      </c>
      <c r="AK23" s="37">
        <f>AA23-AI23</f>
        <v>-3.1383039987916921</v>
      </c>
      <c r="AM23" s="106">
        <f>($G$14*AA23)-($G$15*AI23)</f>
        <v>-472.55373230147501</v>
      </c>
    </row>
    <row r="24" spans="1:39" x14ac:dyDescent="0.2">
      <c r="A24" s="24">
        <v>41486</v>
      </c>
      <c r="B24" s="4"/>
      <c r="C24" s="25">
        <v>3.5841666666666702E-2</v>
      </c>
      <c r="D24" s="4"/>
      <c r="E24" s="15">
        <v>4.9999999999999996E-2</v>
      </c>
      <c r="F24" s="4">
        <v>0.21333333333333335</v>
      </c>
      <c r="G24" s="4">
        <v>0.29499999999999998</v>
      </c>
      <c r="H24" s="15">
        <v>2.4581801421995508</v>
      </c>
      <c r="I24" s="15">
        <v>2.4288456640289224</v>
      </c>
      <c r="J24" s="4">
        <f t="shared" ref="J24:J55" si="4">(I24-$D$14*I23)/(1-$D$14)</f>
        <v>4.6895404927066675</v>
      </c>
      <c r="K24" s="15">
        <v>-0.16749999999999998</v>
      </c>
      <c r="L24" s="4">
        <v>-4.4166666666666667E-2</v>
      </c>
      <c r="M24" s="16">
        <v>5.0000000000000001E-3</v>
      </c>
      <c r="N24" s="4"/>
      <c r="O24" s="22">
        <v>6.3740815929999997</v>
      </c>
      <c r="P24" s="22">
        <v>5.3385646329999998</v>
      </c>
      <c r="Q24" s="22">
        <v>6.0017766750000003</v>
      </c>
      <c r="R24" s="16">
        <f>$D$15*R23+(1-$D$15)*Q24</f>
        <v>4.3274090366000006</v>
      </c>
      <c r="S24" s="4"/>
      <c r="T24" s="22">
        <v>8.2155688819999995</v>
      </c>
      <c r="U24" s="4">
        <f>$D$16*U23+(1-$D$16)*T24</f>
        <v>5.8305898365999997</v>
      </c>
      <c r="V24" s="22">
        <v>1.9939556860000001</v>
      </c>
      <c r="W24" s="4">
        <f>$D$17*W23+(1-$D$17)*V24</f>
        <v>1.0528099524000001</v>
      </c>
      <c r="X24" s="4">
        <v>7.4999999999999997E-3</v>
      </c>
      <c r="Y24" s="4">
        <f t="shared" si="0"/>
        <v>2.8341666666666702E-2</v>
      </c>
      <c r="Z24" s="4">
        <f t="shared" si="1"/>
        <v>1.0811516190666668</v>
      </c>
      <c r="AA24" s="37">
        <f t="shared" ref="AA24:AA87" si="5">$C$21*C24+SUMPRODUCT($E$21:$H$21,E24:H24)+$I$21*J24+SUMPRODUCT($K$21:$M$21,K24:M24)+SUMPRODUCT($O$21:$P$21,O24:P24)+$Q$21*R24+$T$21*U24+$V$21*Z24</f>
        <v>3.4388141552305238</v>
      </c>
      <c r="AB24" s="35"/>
      <c r="AC24" s="205">
        <f t="shared" ref="AC24:AC87" si="6">E24</f>
        <v>4.9999999999999996E-2</v>
      </c>
      <c r="AD24" s="205">
        <f t="shared" ref="AD24:AD87" si="7">F24</f>
        <v>0.21333333333333335</v>
      </c>
      <c r="AE24" s="202">
        <f>G24</f>
        <v>0.29499999999999998</v>
      </c>
      <c r="AF24" s="15">
        <f t="shared" si="2"/>
        <v>-0.16749999999999998</v>
      </c>
      <c r="AG24" s="15">
        <f t="shared" si="3"/>
        <v>-4.4166666666666667E-2</v>
      </c>
      <c r="AH24" s="15">
        <f>M24</f>
        <v>5.0000000000000001E-3</v>
      </c>
      <c r="AI24" s="200">
        <f t="shared" ref="AI24:AI87" si="8">SUMPRODUCT($AC$21:$AH$21,AC24:AH24)</f>
        <v>3.7500000000000059E-3</v>
      </c>
      <c r="AK24" s="37">
        <f>AA24-AI24</f>
        <v>3.4350641552305237</v>
      </c>
      <c r="AM24" s="106">
        <f>($G$14*AA24)-($G$15*AI24)</f>
        <v>517.23494004054146</v>
      </c>
    </row>
    <row r="25" spans="1:39" x14ac:dyDescent="0.2">
      <c r="A25" s="24">
        <v>41517</v>
      </c>
      <c r="B25" s="4"/>
      <c r="C25" s="25">
        <v>3.55833333333333E-2</v>
      </c>
      <c r="D25" s="4"/>
      <c r="E25" s="15">
        <v>6.9166666666666668E-2</v>
      </c>
      <c r="F25" s="4">
        <v>0.23583333333333334</v>
      </c>
      <c r="G25" s="4">
        <v>0.30333333333333334</v>
      </c>
      <c r="H25" s="15">
        <v>-0.79307812152723534</v>
      </c>
      <c r="I25" s="15">
        <v>-0.74915777143932383</v>
      </c>
      <c r="J25" s="4">
        <f t="shared" si="4"/>
        <v>-5.5161629246416926</v>
      </c>
      <c r="K25" s="15">
        <v>-0.15833333333333333</v>
      </c>
      <c r="L25" s="4">
        <v>-2.9166666666666664E-2</v>
      </c>
      <c r="M25" s="16">
        <v>5.0000000000000001E-3</v>
      </c>
      <c r="N25" s="4"/>
      <c r="O25" s="22">
        <v>-1.897887042</v>
      </c>
      <c r="P25" s="22">
        <v>-4.2422308610000004</v>
      </c>
      <c r="Q25" s="22">
        <v>-3.970890067</v>
      </c>
      <c r="R25" s="16">
        <f t="shared" ref="R25:R88" si="9">$D$15*R24+(1-$D$15)*Q25</f>
        <v>-2.3112302462800001</v>
      </c>
      <c r="S25" s="4"/>
      <c r="T25" s="22">
        <v>-6.1586143529999999</v>
      </c>
      <c r="U25" s="4">
        <f t="shared" ref="U25:U88" si="10">$D$16*U24+(1-$D$16)*T25</f>
        <v>-3.7607735150800004</v>
      </c>
      <c r="V25" s="22">
        <v>-1.016185766</v>
      </c>
      <c r="W25" s="4">
        <f t="shared" ref="W25:W88" si="11">$D$17*W24+(1-$D$17)*V25</f>
        <v>-0.60238662232000006</v>
      </c>
      <c r="X25" s="4">
        <v>6.6666666666666671E-3</v>
      </c>
      <c r="Y25" s="4">
        <f t="shared" si="0"/>
        <v>2.8916666666666632E-2</v>
      </c>
      <c r="Z25" s="4">
        <f t="shared" si="1"/>
        <v>-0.57346995565333347</v>
      </c>
      <c r="AA25" s="37">
        <f t="shared" si="5"/>
        <v>-1.8423176925388944</v>
      </c>
      <c r="AB25" s="35"/>
      <c r="AC25" s="205">
        <f t="shared" si="6"/>
        <v>6.9166666666666668E-2</v>
      </c>
      <c r="AD25" s="205">
        <f t="shared" si="7"/>
        <v>0.23583333333333334</v>
      </c>
      <c r="AE25" s="202">
        <f>G25</f>
        <v>0.30333333333333334</v>
      </c>
      <c r="AF25" s="15">
        <f t="shared" si="2"/>
        <v>-0.15833333333333333</v>
      </c>
      <c r="AG25" s="15">
        <f t="shared" si="3"/>
        <v>-2.9166666666666664E-2</v>
      </c>
      <c r="AH25" s="15">
        <f>M25</f>
        <v>5.0000000000000001E-3</v>
      </c>
      <c r="AI25" s="200">
        <f t="shared" si="8"/>
        <v>1.4305555555555556E-2</v>
      </c>
      <c r="AK25" s="37">
        <f>AA25-AI25</f>
        <v>-1.85662324809445</v>
      </c>
      <c r="AM25" s="106">
        <f>($G$14*AA25)-($G$15*AI25)</f>
        <v>-279.56417637533292</v>
      </c>
    </row>
    <row r="26" spans="1:39" x14ac:dyDescent="0.2">
      <c r="A26" s="24">
        <v>41547</v>
      </c>
      <c r="B26" s="4"/>
      <c r="C26" s="25">
        <v>3.5825000000000003E-2</v>
      </c>
      <c r="D26" s="4"/>
      <c r="E26" s="15">
        <v>7.166666666666667E-2</v>
      </c>
      <c r="F26" s="4">
        <v>0.22999999999999998</v>
      </c>
      <c r="G26" s="4">
        <v>0.29499999999999998</v>
      </c>
      <c r="H26" s="15">
        <v>0.95391684368753005</v>
      </c>
      <c r="I26" s="15">
        <v>1.2471351429200861</v>
      </c>
      <c r="J26" s="4">
        <f t="shared" si="4"/>
        <v>4.2415745144592005</v>
      </c>
      <c r="K26" s="15">
        <v>-0.15666666666666665</v>
      </c>
      <c r="L26" s="4">
        <v>-2.6666666666666668E-2</v>
      </c>
      <c r="M26" s="16">
        <v>5.8333333333333336E-3</v>
      </c>
      <c r="N26" s="4"/>
      <c r="O26" s="22">
        <v>1.3194185730000001</v>
      </c>
      <c r="P26" s="22">
        <v>0.50925161600000002</v>
      </c>
      <c r="Q26" s="22">
        <v>3.401431879</v>
      </c>
      <c r="R26" s="16">
        <f t="shared" si="9"/>
        <v>2.2588994539440002</v>
      </c>
      <c r="S26" s="4"/>
      <c r="T26" s="22">
        <v>3.3860083159999999</v>
      </c>
      <c r="U26" s="4">
        <f t="shared" si="10"/>
        <v>1.9566519497839998</v>
      </c>
      <c r="V26" s="22">
        <v>2.2743685299999998</v>
      </c>
      <c r="W26" s="4">
        <f t="shared" si="11"/>
        <v>1.6990174995359999</v>
      </c>
      <c r="X26" s="4">
        <v>6.6666666666666671E-3</v>
      </c>
      <c r="Y26" s="4">
        <f t="shared" si="0"/>
        <v>2.9158333333333335E-2</v>
      </c>
      <c r="Z26" s="4">
        <f t="shared" si="1"/>
        <v>1.7281758328693333</v>
      </c>
      <c r="AA26" s="37">
        <f t="shared" si="5"/>
        <v>0.76476526172699799</v>
      </c>
      <c r="AB26" s="35"/>
      <c r="AC26" s="205">
        <f t="shared" si="6"/>
        <v>7.166666666666667E-2</v>
      </c>
      <c r="AD26" s="205">
        <f t="shared" si="7"/>
        <v>0.22999999999999998</v>
      </c>
      <c r="AE26" s="202">
        <f>G26</f>
        <v>0.29499999999999998</v>
      </c>
      <c r="AF26" s="15">
        <f t="shared" si="2"/>
        <v>-0.15666666666666665</v>
      </c>
      <c r="AG26" s="15">
        <f t="shared" si="3"/>
        <v>-2.6666666666666668E-2</v>
      </c>
      <c r="AH26" s="15">
        <f>M26</f>
        <v>5.8333333333333336E-3</v>
      </c>
      <c r="AI26" s="200">
        <f t="shared" si="8"/>
        <v>1.4486111111111109E-2</v>
      </c>
      <c r="AK26" s="37">
        <f>AA26-AI26</f>
        <v>0.7502791506158869</v>
      </c>
      <c r="AM26" s="106">
        <f>($G$14*AA26)-($G$15*AI26)</f>
        <v>112.97076710792182</v>
      </c>
    </row>
    <row r="27" spans="1:39" x14ac:dyDescent="0.2">
      <c r="A27" s="24">
        <v>41578</v>
      </c>
      <c r="B27" s="4"/>
      <c r="C27" s="25">
        <v>3.5941666666666698E-2</v>
      </c>
      <c r="D27" s="4"/>
      <c r="E27" s="15">
        <v>6.9166666666666668E-2</v>
      </c>
      <c r="F27" s="4">
        <v>0.22500000000000001</v>
      </c>
      <c r="G27" s="4">
        <v>0.29083333333333333</v>
      </c>
      <c r="H27" s="15">
        <v>2.1513664882120809</v>
      </c>
      <c r="I27" s="15">
        <v>2.4954858610769515</v>
      </c>
      <c r="J27" s="4">
        <f t="shared" si="4"/>
        <v>4.3680119383122493</v>
      </c>
      <c r="K27" s="15">
        <v>-0.16666666666666666</v>
      </c>
      <c r="L27" s="4">
        <v>-3.6666666666666667E-2</v>
      </c>
      <c r="M27" s="16">
        <v>-8.3333333333333339E-4</v>
      </c>
      <c r="N27" s="4"/>
      <c r="O27" s="22">
        <v>4.0568249749999996</v>
      </c>
      <c r="P27" s="22">
        <v>5.0238191800000003</v>
      </c>
      <c r="Q27" s="22">
        <v>2.3819417249999999</v>
      </c>
      <c r="R27" s="16">
        <f t="shared" si="9"/>
        <v>2.3573332707888</v>
      </c>
      <c r="S27" s="4"/>
      <c r="T27" s="22">
        <v>6.4519725499999998</v>
      </c>
      <c r="U27" s="4">
        <f t="shared" si="10"/>
        <v>5.5529084299568003</v>
      </c>
      <c r="V27" s="22">
        <v>1.436060621</v>
      </c>
      <c r="W27" s="4">
        <f t="shared" si="11"/>
        <v>1.4886519967072001</v>
      </c>
      <c r="X27" s="4">
        <v>7.4999999999999997E-3</v>
      </c>
      <c r="Y27" s="4">
        <f t="shared" si="0"/>
        <v>2.8441666666666698E-2</v>
      </c>
      <c r="Z27" s="4">
        <f t="shared" si="1"/>
        <v>1.5170936633738668</v>
      </c>
      <c r="AA27" s="37">
        <f t="shared" si="5"/>
        <v>2.8438546235537174</v>
      </c>
      <c r="AB27" s="35"/>
      <c r="AC27" s="205">
        <f t="shared" si="6"/>
        <v>6.9166666666666668E-2</v>
      </c>
      <c r="AD27" s="205">
        <f t="shared" si="7"/>
        <v>0.22500000000000001</v>
      </c>
      <c r="AE27" s="202">
        <f>G27</f>
        <v>0.29083333333333333</v>
      </c>
      <c r="AF27" s="15">
        <f t="shared" si="2"/>
        <v>-0.16666666666666666</v>
      </c>
      <c r="AG27" s="15">
        <f t="shared" si="3"/>
        <v>-3.6666666666666667E-2</v>
      </c>
      <c r="AH27" s="15">
        <f>M27</f>
        <v>-8.3333333333333339E-4</v>
      </c>
      <c r="AI27" s="200">
        <f t="shared" si="8"/>
        <v>6.8055555555555577E-3</v>
      </c>
      <c r="AK27" s="37">
        <f>AA27-AI27</f>
        <v>2.8370490679981617</v>
      </c>
      <c r="AM27" s="106">
        <f>($G$14*AA27)-($G$15*AI27)</f>
        <v>427.18809945422157</v>
      </c>
    </row>
    <row r="28" spans="1:39" x14ac:dyDescent="0.2">
      <c r="A28" s="24">
        <v>41608</v>
      </c>
      <c r="B28" s="4"/>
      <c r="C28" s="25">
        <v>3.58333333333333E-2</v>
      </c>
      <c r="D28" s="4"/>
      <c r="E28" s="15">
        <v>7.4999999999999997E-2</v>
      </c>
      <c r="F28" s="4">
        <v>0.24</v>
      </c>
      <c r="G28" s="4">
        <v>0.30416666666666664</v>
      </c>
      <c r="H28" s="15">
        <v>-1.2729616680096534</v>
      </c>
      <c r="I28" s="15">
        <v>3.8646517641560685E-2</v>
      </c>
      <c r="J28" s="4">
        <f t="shared" si="4"/>
        <v>-3.6466124975115255</v>
      </c>
      <c r="K28" s="15">
        <v>-0.15333333333333335</v>
      </c>
      <c r="L28" s="4">
        <v>-2.6666666666666668E-2</v>
      </c>
      <c r="M28" s="16">
        <v>2.5000000000000001E-3</v>
      </c>
      <c r="N28" s="4"/>
      <c r="O28" s="22">
        <v>-0.79667346800000005</v>
      </c>
      <c r="P28" s="22">
        <v>-0.273046446</v>
      </c>
      <c r="Q28" s="22">
        <v>0.52353426599999997</v>
      </c>
      <c r="R28" s="16">
        <f t="shared" si="9"/>
        <v>0.89029406695776003</v>
      </c>
      <c r="S28" s="4"/>
      <c r="T28" s="22">
        <v>-1.423171588</v>
      </c>
      <c r="U28" s="4">
        <f t="shared" si="10"/>
        <v>-2.7955584408639877E-2</v>
      </c>
      <c r="V28" s="22">
        <v>0.66954448799999999</v>
      </c>
      <c r="W28" s="4">
        <f t="shared" si="11"/>
        <v>0.83336598974144005</v>
      </c>
      <c r="X28" s="4">
        <v>6.6666666666666671E-3</v>
      </c>
      <c r="Y28" s="4">
        <f t="shared" si="0"/>
        <v>2.9166666666666632E-2</v>
      </c>
      <c r="Z28" s="4">
        <f t="shared" si="1"/>
        <v>0.86253265640810672</v>
      </c>
      <c r="AA28" s="37">
        <f t="shared" si="5"/>
        <v>-0.40587403799491967</v>
      </c>
      <c r="AB28" s="35"/>
      <c r="AC28" s="205">
        <f t="shared" si="6"/>
        <v>7.4999999999999997E-2</v>
      </c>
      <c r="AD28" s="205">
        <f t="shared" si="7"/>
        <v>0.24</v>
      </c>
      <c r="AE28" s="202">
        <f>G28</f>
        <v>0.30416666666666664</v>
      </c>
      <c r="AF28" s="15">
        <f t="shared" si="2"/>
        <v>-0.15333333333333335</v>
      </c>
      <c r="AG28" s="15">
        <f t="shared" si="3"/>
        <v>-2.6666666666666668E-2</v>
      </c>
      <c r="AH28" s="15">
        <f>M28</f>
        <v>2.5000000000000001E-3</v>
      </c>
      <c r="AI28" s="200">
        <f t="shared" si="8"/>
        <v>1.6305555555555545E-2</v>
      </c>
      <c r="AK28" s="37">
        <f>AA28-AI28</f>
        <v>-0.42217959355047519</v>
      </c>
      <c r="AM28" s="106">
        <f>($G$14*AA28)-($G$15*AI28)</f>
        <v>-63.572839399922564</v>
      </c>
    </row>
    <row r="29" spans="1:39" x14ac:dyDescent="0.2">
      <c r="A29" s="24">
        <v>41639</v>
      </c>
      <c r="B29" s="4"/>
      <c r="C29" s="25">
        <v>3.5125000000000003E-2</v>
      </c>
      <c r="D29" s="4"/>
      <c r="E29" s="15">
        <v>9.8333333333333328E-2</v>
      </c>
      <c r="F29" s="4">
        <v>0.26333333333333336</v>
      </c>
      <c r="G29" s="4">
        <v>0.31083333333333335</v>
      </c>
      <c r="H29" s="15">
        <v>-0.73664307051348743</v>
      </c>
      <c r="I29" s="15">
        <v>0.74090576482059856</v>
      </c>
      <c r="J29" s="4">
        <f t="shared" si="4"/>
        <v>1.7942946355891554</v>
      </c>
      <c r="K29" s="15">
        <v>-0.14166666666666666</v>
      </c>
      <c r="L29" s="4">
        <v>-9.1666666666666667E-3</v>
      </c>
      <c r="M29" s="16">
        <v>1.0833333333333334E-2</v>
      </c>
      <c r="N29" s="4"/>
      <c r="O29" s="22">
        <v>1.5014743049999999</v>
      </c>
      <c r="P29" s="22">
        <v>0.66413934600000002</v>
      </c>
      <c r="Q29" s="22">
        <v>0.42664014500000003</v>
      </c>
      <c r="R29" s="16">
        <f t="shared" si="9"/>
        <v>0.51937092939155205</v>
      </c>
      <c r="S29" s="4"/>
      <c r="T29" s="22">
        <v>1.3835194630000001</v>
      </c>
      <c r="U29" s="4">
        <f t="shared" si="10"/>
        <v>1.101224453518272</v>
      </c>
      <c r="V29" s="22">
        <v>0.58367879300000003</v>
      </c>
      <c r="W29" s="4">
        <f t="shared" si="11"/>
        <v>0.63361623234828812</v>
      </c>
      <c r="X29" s="4">
        <v>7.4999999999999997E-3</v>
      </c>
      <c r="Y29" s="4">
        <f t="shared" si="0"/>
        <v>2.7625000000000004E-2</v>
      </c>
      <c r="Z29" s="4">
        <f t="shared" si="1"/>
        <v>0.66124123234828813</v>
      </c>
      <c r="AA29" s="37">
        <f t="shared" si="5"/>
        <v>0.39463790345239053</v>
      </c>
      <c r="AB29" s="35"/>
      <c r="AC29" s="205">
        <f t="shared" si="6"/>
        <v>9.8333333333333328E-2</v>
      </c>
      <c r="AD29" s="205">
        <f t="shared" si="7"/>
        <v>0.26333333333333336</v>
      </c>
      <c r="AE29" s="202">
        <f>G29</f>
        <v>0.31083333333333335</v>
      </c>
      <c r="AF29" s="15">
        <f t="shared" si="2"/>
        <v>-0.14166666666666666</v>
      </c>
      <c r="AG29" s="15">
        <f t="shared" si="3"/>
        <v>-9.1666666666666667E-3</v>
      </c>
      <c r="AH29" s="15">
        <f>M29</f>
        <v>1.0833333333333334E-2</v>
      </c>
      <c r="AI29" s="200">
        <f t="shared" si="8"/>
        <v>3.0416666666666672E-2</v>
      </c>
      <c r="AK29" s="37">
        <f>AA29-AI29</f>
        <v>0.36422123678572388</v>
      </c>
      <c r="AM29" s="106">
        <f>($G$14*AA29)-($G$15*AI29)</f>
        <v>54.837028580064299</v>
      </c>
    </row>
    <row r="30" spans="1:39" x14ac:dyDescent="0.2">
      <c r="A30" s="24">
        <v>41670</v>
      </c>
      <c r="B30" s="4"/>
      <c r="C30" s="25">
        <v>3.5725E-2</v>
      </c>
      <c r="D30" s="4"/>
      <c r="E30" s="15">
        <v>8.7500000000000008E-2</v>
      </c>
      <c r="F30" s="4">
        <v>0.23583333333333334</v>
      </c>
      <c r="G30" s="4">
        <v>0.29583333333333334</v>
      </c>
      <c r="H30" s="15">
        <v>2.2263747055168537</v>
      </c>
      <c r="I30" s="15">
        <v>0.5281816567063613</v>
      </c>
      <c r="J30" s="4">
        <f t="shared" si="4"/>
        <v>0.20909549453500542</v>
      </c>
      <c r="K30" s="15">
        <v>-0.13666666666666666</v>
      </c>
      <c r="L30" s="4">
        <v>-0.02</v>
      </c>
      <c r="M30" s="16">
        <v>5.8333333333333336E-3</v>
      </c>
      <c r="N30" s="4"/>
      <c r="O30" s="22">
        <v>-3.8138185939999998</v>
      </c>
      <c r="P30" s="22">
        <v>-2.9692725449999999</v>
      </c>
      <c r="Q30" s="22">
        <v>-0.52333467700000003</v>
      </c>
      <c r="R30" s="16">
        <f t="shared" si="9"/>
        <v>-0.3147935557216896</v>
      </c>
      <c r="S30" s="4"/>
      <c r="T30" s="22">
        <v>3.858912326</v>
      </c>
      <c r="U30" s="4">
        <f t="shared" si="10"/>
        <v>3.3073747515036547</v>
      </c>
      <c r="V30" s="22">
        <v>-0.77213447599999996</v>
      </c>
      <c r="W30" s="4">
        <f t="shared" si="11"/>
        <v>-0.49098433433034239</v>
      </c>
      <c r="X30" s="4">
        <v>5.8333333333333336E-3</v>
      </c>
      <c r="Y30" s="4">
        <f t="shared" si="0"/>
        <v>2.9891666666666667E-2</v>
      </c>
      <c r="Z30" s="4">
        <f t="shared" si="1"/>
        <v>-0.46109266766367574</v>
      </c>
      <c r="AA30" s="37">
        <f t="shared" si="5"/>
        <v>-0.84486748191592764</v>
      </c>
      <c r="AB30" s="35"/>
      <c r="AC30" s="205">
        <f t="shared" si="6"/>
        <v>8.7500000000000008E-2</v>
      </c>
      <c r="AD30" s="205">
        <f t="shared" si="7"/>
        <v>0.23583333333333334</v>
      </c>
      <c r="AE30" s="202">
        <f>G30</f>
        <v>0.29583333333333334</v>
      </c>
      <c r="AF30" s="15">
        <f t="shared" si="2"/>
        <v>-0.13666666666666666</v>
      </c>
      <c r="AG30" s="15">
        <f t="shared" si="3"/>
        <v>-0.02</v>
      </c>
      <c r="AH30" s="15">
        <f>M30</f>
        <v>5.8333333333333336E-3</v>
      </c>
      <c r="AI30" s="200">
        <f t="shared" si="8"/>
        <v>2.2194444444444444E-2</v>
      </c>
      <c r="AK30" s="37">
        <f>AA30-AI30</f>
        <v>-0.86706192636037205</v>
      </c>
      <c r="AM30" s="106">
        <f>($G$14*AA30)-($G$15*AI30)</f>
        <v>-130.56220600331991</v>
      </c>
    </row>
    <row r="31" spans="1:39" x14ac:dyDescent="0.2">
      <c r="A31" s="24">
        <v>41698</v>
      </c>
      <c r="B31" s="4"/>
      <c r="C31" s="25">
        <v>3.4974999999999999E-2</v>
      </c>
      <c r="D31" s="4"/>
      <c r="E31" s="15">
        <v>8.9166666666666672E-2</v>
      </c>
      <c r="F31" s="4">
        <v>0.23833333333333331</v>
      </c>
      <c r="G31" s="4">
        <v>0.29583333333333334</v>
      </c>
      <c r="H31" s="15">
        <v>0.33187520770269208</v>
      </c>
      <c r="I31" s="15">
        <v>1.9235565948146682</v>
      </c>
      <c r="J31" s="4">
        <f t="shared" si="4"/>
        <v>4.0166190019771282</v>
      </c>
      <c r="K31" s="15">
        <v>-0.14416666666666667</v>
      </c>
      <c r="L31" s="4">
        <v>-2.1666666666666667E-2</v>
      </c>
      <c r="M31" s="16">
        <v>4.1666666666666666E-3</v>
      </c>
      <c r="N31" s="4"/>
      <c r="O31" s="22">
        <v>4.8729984630000001</v>
      </c>
      <c r="P31" s="22">
        <v>3.1880267529999999</v>
      </c>
      <c r="Q31" s="22">
        <v>2.287898126</v>
      </c>
      <c r="R31" s="16">
        <f t="shared" si="9"/>
        <v>1.7673597896556621</v>
      </c>
      <c r="S31" s="4"/>
      <c r="T31" s="22">
        <v>6.1254897919999998</v>
      </c>
      <c r="U31" s="4">
        <f t="shared" si="10"/>
        <v>5.5618667839007312</v>
      </c>
      <c r="V31" s="22">
        <v>2.0596424259999999</v>
      </c>
      <c r="W31" s="4">
        <f t="shared" si="11"/>
        <v>1.5495170739339317</v>
      </c>
      <c r="X31" s="4">
        <v>5.8333333333333336E-3</v>
      </c>
      <c r="Y31" s="4">
        <f t="shared" si="0"/>
        <v>2.9141666666666666E-2</v>
      </c>
      <c r="Z31" s="4">
        <f t="shared" si="1"/>
        <v>1.5786587406005983</v>
      </c>
      <c r="AA31" s="37">
        <f t="shared" si="5"/>
        <v>2.1320616401803507</v>
      </c>
      <c r="AB31" s="35"/>
      <c r="AC31" s="205">
        <f t="shared" si="6"/>
        <v>8.9166666666666672E-2</v>
      </c>
      <c r="AD31" s="205">
        <f t="shared" si="7"/>
        <v>0.23833333333333331</v>
      </c>
      <c r="AE31" s="202">
        <f>G31</f>
        <v>0.29583333333333334</v>
      </c>
      <c r="AF31" s="15">
        <f t="shared" si="2"/>
        <v>-0.14416666666666667</v>
      </c>
      <c r="AG31" s="15">
        <f t="shared" si="3"/>
        <v>-2.1666666666666667E-2</v>
      </c>
      <c r="AH31" s="15">
        <f>M31</f>
        <v>4.1666666666666666E-3</v>
      </c>
      <c r="AI31" s="200">
        <f t="shared" si="8"/>
        <v>2.013888888888888E-2</v>
      </c>
      <c r="AK31" s="37">
        <f>AA31-AI31</f>
        <v>2.1119227512914618</v>
      </c>
      <c r="AM31" s="106">
        <f>($G$14*AA31)-($G$15*AI31)</f>
        <v>317.99953637424039</v>
      </c>
    </row>
    <row r="32" spans="1:39" x14ac:dyDescent="0.2">
      <c r="A32" s="24">
        <v>41729</v>
      </c>
      <c r="B32" s="4"/>
      <c r="C32" s="25">
        <v>3.4658333333333298E-2</v>
      </c>
      <c r="D32" s="4"/>
      <c r="E32" s="15">
        <v>9.9166666666666667E-2</v>
      </c>
      <c r="F32" s="4">
        <v>0.23916666666666667</v>
      </c>
      <c r="G32" s="4">
        <v>0.29583333333333334</v>
      </c>
      <c r="H32" s="15">
        <v>-0.15367518215759768</v>
      </c>
      <c r="I32" s="15">
        <v>1.8661356629257053E-2</v>
      </c>
      <c r="J32" s="4">
        <f t="shared" si="4"/>
        <v>-2.8386815006488595</v>
      </c>
      <c r="K32" s="15">
        <v>-0.13833333333333334</v>
      </c>
      <c r="L32" s="4">
        <v>-2.4999999999999998E-2</v>
      </c>
      <c r="M32" s="16">
        <v>-8.3333333333333339E-4</v>
      </c>
      <c r="N32" s="4"/>
      <c r="O32" s="22">
        <v>-2.624260424</v>
      </c>
      <c r="P32" s="22">
        <v>0.52992504399999996</v>
      </c>
      <c r="Q32" s="22">
        <v>-1.1294024380000001</v>
      </c>
      <c r="R32" s="16">
        <f t="shared" si="9"/>
        <v>-0.55004999246886754</v>
      </c>
      <c r="S32" s="4"/>
      <c r="T32" s="22">
        <v>-3.4055449860000002</v>
      </c>
      <c r="U32" s="4">
        <f t="shared" si="10"/>
        <v>-1.6120626320198539</v>
      </c>
      <c r="V32" s="22">
        <v>-0.39951866699999999</v>
      </c>
      <c r="W32" s="4">
        <f t="shared" si="11"/>
        <v>-9.7115188132136931E-3</v>
      </c>
      <c r="X32" s="4">
        <v>6.6666666666666671E-3</v>
      </c>
      <c r="Y32" s="4">
        <f t="shared" si="0"/>
        <v>2.799166666666663E-2</v>
      </c>
      <c r="Z32" s="4">
        <f t="shared" si="1"/>
        <v>1.8280147853452937E-2</v>
      </c>
      <c r="AA32" s="37">
        <f t="shared" si="5"/>
        <v>-0.42414010254649709</v>
      </c>
      <c r="AB32" s="35"/>
      <c r="AC32" s="205">
        <f t="shared" si="6"/>
        <v>9.9166666666666667E-2</v>
      </c>
      <c r="AD32" s="205">
        <f t="shared" si="7"/>
        <v>0.23916666666666667</v>
      </c>
      <c r="AE32" s="202">
        <f>G32</f>
        <v>0.29583333333333334</v>
      </c>
      <c r="AF32" s="15">
        <f t="shared" si="2"/>
        <v>-0.13833333333333334</v>
      </c>
      <c r="AG32" s="15">
        <f t="shared" si="3"/>
        <v>-2.4999999999999998E-2</v>
      </c>
      <c r="AH32" s="15">
        <f>M32</f>
        <v>-8.3333333333333339E-4</v>
      </c>
      <c r="AI32" s="200">
        <f t="shared" si="8"/>
        <v>1.9805555555555548E-2</v>
      </c>
      <c r="AK32" s="37">
        <f>AA32-AI32</f>
        <v>-0.44394565810205266</v>
      </c>
      <c r="AM32" s="106">
        <f>($G$14*AA32)-($G$15*AI32)</f>
        <v>-66.850922969294871</v>
      </c>
    </row>
    <row r="33" spans="1:39" x14ac:dyDescent="0.2">
      <c r="A33" s="24">
        <v>41759</v>
      </c>
      <c r="B33" s="4"/>
      <c r="C33" s="25">
        <v>3.51666666666667E-2</v>
      </c>
      <c r="D33" s="4"/>
      <c r="E33" s="15">
        <v>9.9999999999999992E-2</v>
      </c>
      <c r="F33" s="4">
        <v>0.23416666666666666</v>
      </c>
      <c r="G33" s="4">
        <v>0.29166666666666669</v>
      </c>
      <c r="H33" s="15">
        <v>1.3714711807019109</v>
      </c>
      <c r="I33" s="15">
        <v>0.65116083035459127</v>
      </c>
      <c r="J33" s="4">
        <f t="shared" si="4"/>
        <v>1.5999100409425926</v>
      </c>
      <c r="K33" s="15">
        <v>-0.14499999999999999</v>
      </c>
      <c r="L33" s="4">
        <v>-3.0833333333333334E-2</v>
      </c>
      <c r="M33" s="16">
        <v>-3.3333333333333335E-3</v>
      </c>
      <c r="N33" s="4"/>
      <c r="O33" s="22">
        <v>3.1165915810000002</v>
      </c>
      <c r="P33" s="22">
        <v>-0.31966277500000001</v>
      </c>
      <c r="Q33" s="22">
        <v>-3.7451946349999998</v>
      </c>
      <c r="R33" s="16">
        <f t="shared" si="9"/>
        <v>-3.1061657064937735</v>
      </c>
      <c r="S33" s="4"/>
      <c r="T33" s="22">
        <v>1.856734042</v>
      </c>
      <c r="U33" s="4">
        <f t="shared" si="10"/>
        <v>1.1629747071960292</v>
      </c>
      <c r="V33" s="22">
        <v>0.24002046199999999</v>
      </c>
      <c r="W33" s="4">
        <f t="shared" si="11"/>
        <v>0.19007406583735728</v>
      </c>
      <c r="X33" s="4">
        <v>7.4999999999999997E-3</v>
      </c>
      <c r="Y33" s="4">
        <f t="shared" si="0"/>
        <v>2.76666666666667E-2</v>
      </c>
      <c r="Z33" s="4">
        <f t="shared" si="1"/>
        <v>0.21774073250402398</v>
      </c>
      <c r="AA33" s="37">
        <f t="shared" si="5"/>
        <v>0.74520035393408268</v>
      </c>
      <c r="AB33" s="35"/>
      <c r="AC33" s="205">
        <f t="shared" si="6"/>
        <v>9.9999999999999992E-2</v>
      </c>
      <c r="AD33" s="205">
        <f t="shared" si="7"/>
        <v>0.23416666666666666</v>
      </c>
      <c r="AE33" s="202">
        <f>G33</f>
        <v>0.29166666666666669</v>
      </c>
      <c r="AF33" s="15">
        <f t="shared" si="2"/>
        <v>-0.14499999999999999</v>
      </c>
      <c r="AG33" s="15">
        <f t="shared" si="3"/>
        <v>-3.0833333333333334E-2</v>
      </c>
      <c r="AH33" s="15">
        <f>M33</f>
        <v>-3.3333333333333335E-3</v>
      </c>
      <c r="AI33" s="200">
        <f t="shared" si="8"/>
        <v>1.5305555555555557E-2</v>
      </c>
      <c r="AK33" s="37">
        <f>AA33-AI33</f>
        <v>0.72989479837852711</v>
      </c>
      <c r="AM33" s="106">
        <f>($G$14*AA33)-($G$15*AI33)</f>
        <v>109.90123531762079</v>
      </c>
    </row>
    <row r="34" spans="1:39" x14ac:dyDescent="0.2">
      <c r="A34" s="24">
        <v>41790</v>
      </c>
      <c r="B34" s="4"/>
      <c r="C34" s="25">
        <v>3.5275000000000001E-2</v>
      </c>
      <c r="D34" s="4"/>
      <c r="E34" s="15">
        <v>9.8333333333333328E-2</v>
      </c>
      <c r="F34" s="4">
        <v>0.22500000000000001</v>
      </c>
      <c r="G34" s="4">
        <v>0.28416666666666668</v>
      </c>
      <c r="H34" s="15">
        <v>1.2634659900202849</v>
      </c>
      <c r="I34" s="15">
        <v>0.52857925920722915</v>
      </c>
      <c r="J34" s="4">
        <f t="shared" si="4"/>
        <v>0.34470690248618596</v>
      </c>
      <c r="K34" s="15">
        <v>-0.13500000000000001</v>
      </c>
      <c r="L34" s="4">
        <v>-3.2500000000000001E-2</v>
      </c>
      <c r="M34" s="16">
        <v>-8.3333333333333332E-3</v>
      </c>
      <c r="N34" s="4"/>
      <c r="O34" s="22">
        <v>1.26444622</v>
      </c>
      <c r="P34" s="22">
        <v>2.743424643</v>
      </c>
      <c r="Q34" s="22">
        <v>2.3757663710000001</v>
      </c>
      <c r="R34" s="16">
        <f t="shared" si="9"/>
        <v>1.2793799555012453</v>
      </c>
      <c r="S34" s="4"/>
      <c r="T34" s="22">
        <v>2.6703202660000001</v>
      </c>
      <c r="U34" s="4">
        <f t="shared" si="10"/>
        <v>2.3688511542392061</v>
      </c>
      <c r="V34" s="22">
        <v>1.459978794</v>
      </c>
      <c r="W34" s="4">
        <f t="shared" si="11"/>
        <v>1.2059978483674714</v>
      </c>
      <c r="X34" s="4">
        <v>7.4999999999999997E-3</v>
      </c>
      <c r="Y34" s="4">
        <f t="shared" si="0"/>
        <v>2.7775000000000001E-2</v>
      </c>
      <c r="Z34" s="4">
        <f t="shared" si="1"/>
        <v>1.2337728483674715</v>
      </c>
      <c r="AA34" s="37">
        <f t="shared" si="5"/>
        <v>1.3893836371301047</v>
      </c>
      <c r="AB34" s="35"/>
      <c r="AC34" s="205">
        <f t="shared" si="6"/>
        <v>9.8333333333333328E-2</v>
      </c>
      <c r="AD34" s="205">
        <f t="shared" si="7"/>
        <v>0.22500000000000001</v>
      </c>
      <c r="AE34" s="202">
        <f>G34</f>
        <v>0.28416666666666668</v>
      </c>
      <c r="AF34" s="15">
        <f t="shared" si="2"/>
        <v>-0.13500000000000001</v>
      </c>
      <c r="AG34" s="15">
        <f t="shared" si="3"/>
        <v>-3.2500000000000001E-2</v>
      </c>
      <c r="AH34" s="15">
        <f>M34</f>
        <v>-8.3333333333333332E-3</v>
      </c>
      <c r="AI34" s="200">
        <f t="shared" si="8"/>
        <v>1.3902777777777771E-2</v>
      </c>
      <c r="AK34" s="37">
        <f>AA34-AI34</f>
        <v>1.3754808593523269</v>
      </c>
      <c r="AM34" s="106">
        <f>($G$14*AA34)-($G$15*AI34)</f>
        <v>207.11077875457019</v>
      </c>
    </row>
    <row r="35" spans="1:39" x14ac:dyDescent="0.2">
      <c r="A35" s="24">
        <v>41820</v>
      </c>
      <c r="B35" s="4"/>
      <c r="C35" s="25">
        <v>3.5424999999999998E-2</v>
      </c>
      <c r="D35" s="4"/>
      <c r="E35" s="15">
        <v>0.11833333333333333</v>
      </c>
      <c r="F35" s="4">
        <v>0.23416666666666666</v>
      </c>
      <c r="G35" s="4">
        <v>0.28750000000000003</v>
      </c>
      <c r="H35" s="15">
        <v>-0.23317380209140204</v>
      </c>
      <c r="I35" s="15">
        <v>0.87980608554314443</v>
      </c>
      <c r="J35" s="4">
        <f t="shared" si="4"/>
        <v>1.4066463250470174</v>
      </c>
      <c r="K35" s="15">
        <v>-0.11499999999999999</v>
      </c>
      <c r="L35" s="4">
        <v>-2.4166666666666666E-2</v>
      </c>
      <c r="M35" s="16">
        <v>-5.0000000000000001E-3</v>
      </c>
      <c r="N35" s="4"/>
      <c r="O35" s="22">
        <v>-0.627799828</v>
      </c>
      <c r="P35" s="22">
        <v>5.6620741000000002E-2</v>
      </c>
      <c r="Q35" s="22">
        <v>1.481543257</v>
      </c>
      <c r="R35" s="16">
        <f t="shared" si="9"/>
        <v>1.4411105967002491</v>
      </c>
      <c r="S35" s="4"/>
      <c r="T35" s="22">
        <v>-2.9825641799999998</v>
      </c>
      <c r="U35" s="4">
        <f t="shared" si="10"/>
        <v>-1.9122811131521584</v>
      </c>
      <c r="V35" s="22">
        <v>0.920538258</v>
      </c>
      <c r="W35" s="4">
        <f t="shared" si="11"/>
        <v>0.97763017607349434</v>
      </c>
      <c r="X35" s="4">
        <v>8.3333333333333332E-3</v>
      </c>
      <c r="Y35" s="4">
        <f t="shared" si="0"/>
        <v>2.7091666666666667E-2</v>
      </c>
      <c r="Z35" s="4">
        <f t="shared" si="1"/>
        <v>1.004721842740161</v>
      </c>
      <c r="AA35" s="37">
        <f t="shared" si="5"/>
        <v>-0.15960421366991845</v>
      </c>
      <c r="AB35" s="35"/>
      <c r="AC35" s="205">
        <f t="shared" si="6"/>
        <v>0.11833333333333333</v>
      </c>
      <c r="AD35" s="205">
        <f t="shared" si="7"/>
        <v>0.23416666666666666</v>
      </c>
      <c r="AE35" s="202">
        <f>G35</f>
        <v>0.28750000000000003</v>
      </c>
      <c r="AF35" s="15">
        <f t="shared" si="2"/>
        <v>-0.11499999999999999</v>
      </c>
      <c r="AG35" s="15">
        <f t="shared" si="3"/>
        <v>-2.4166666666666666E-2</v>
      </c>
      <c r="AH35" s="15">
        <f>M35</f>
        <v>-5.0000000000000001E-3</v>
      </c>
      <c r="AI35" s="200">
        <f t="shared" si="8"/>
        <v>2.376388888888889E-2</v>
      </c>
      <c r="AK35" s="37">
        <f>AA35-AI35</f>
        <v>-0.18336810255880734</v>
      </c>
      <c r="AM35" s="106">
        <f>($G$14*AA35)-($G$15*AI35)</f>
        <v>-27.615131218108143</v>
      </c>
    </row>
    <row r="36" spans="1:39" x14ac:dyDescent="0.2">
      <c r="A36" s="24">
        <v>41851</v>
      </c>
      <c r="B36" s="4"/>
      <c r="C36" s="25">
        <v>3.5691666666666698E-2</v>
      </c>
      <c r="D36" s="4"/>
      <c r="E36" s="15">
        <v>0.11916666666666666</v>
      </c>
      <c r="F36" s="4">
        <v>0.22999999999999998</v>
      </c>
      <c r="G36" s="4">
        <v>0.27666666666666667</v>
      </c>
      <c r="H36" s="15">
        <v>0.39169156182108367</v>
      </c>
      <c r="I36" s="15">
        <v>-1.3143736600130462</v>
      </c>
      <c r="J36" s="4">
        <f t="shared" si="4"/>
        <v>-4.6056432783473316</v>
      </c>
      <c r="K36" s="15">
        <v>-0.11333333333333334</v>
      </c>
      <c r="L36" s="4">
        <v>-2.4999999999999998E-2</v>
      </c>
      <c r="M36" s="16">
        <v>-8.3333333333333332E-3</v>
      </c>
      <c r="N36" s="4"/>
      <c r="O36" s="22">
        <v>-0.25043416699999999</v>
      </c>
      <c r="P36" s="22">
        <v>-0.12808808299999999</v>
      </c>
      <c r="Q36" s="22">
        <v>-1.9888448510000001</v>
      </c>
      <c r="R36" s="16">
        <f t="shared" si="9"/>
        <v>-1.3028537614599502</v>
      </c>
      <c r="S36" s="4"/>
      <c r="T36" s="22">
        <v>1.3984675550000001</v>
      </c>
      <c r="U36" s="4">
        <f t="shared" si="10"/>
        <v>0.73631782136956825</v>
      </c>
      <c r="V36" s="22">
        <v>-1.3053486809999999</v>
      </c>
      <c r="W36" s="4">
        <f t="shared" si="11"/>
        <v>-0.84875290958530114</v>
      </c>
      <c r="X36" s="4">
        <v>7.4999999999999997E-3</v>
      </c>
      <c r="Y36" s="4">
        <f t="shared" si="0"/>
        <v>2.8191666666666698E-2</v>
      </c>
      <c r="Z36" s="4">
        <f t="shared" si="1"/>
        <v>-0.82056124291863441</v>
      </c>
      <c r="AA36" s="37">
        <f t="shared" si="5"/>
        <v>2.1744398396726858E-3</v>
      </c>
      <c r="AB36" s="35"/>
      <c r="AC36" s="205">
        <f t="shared" si="6"/>
        <v>0.11916666666666666</v>
      </c>
      <c r="AD36" s="205">
        <f t="shared" si="7"/>
        <v>0.22999999999999998</v>
      </c>
      <c r="AE36" s="202">
        <f>G36</f>
        <v>0.27666666666666667</v>
      </c>
      <c r="AF36" s="15">
        <f t="shared" si="2"/>
        <v>-0.11333333333333334</v>
      </c>
      <c r="AG36" s="15">
        <f t="shared" si="3"/>
        <v>-2.4999999999999998E-2</v>
      </c>
      <c r="AH36" s="15">
        <f>M36</f>
        <v>-8.3333333333333332E-3</v>
      </c>
      <c r="AI36" s="200">
        <f t="shared" si="8"/>
        <v>2.1749999999999992E-2</v>
      </c>
      <c r="AK36" s="37">
        <f>AA36-AI36</f>
        <v>-1.9575560160327306E-2</v>
      </c>
      <c r="AM36" s="106">
        <f>($G$14*AA36)-($G$15*AI36)</f>
        <v>-2.9516526765045081</v>
      </c>
    </row>
    <row r="37" spans="1:39" x14ac:dyDescent="0.2">
      <c r="A37" s="24">
        <v>41882</v>
      </c>
      <c r="B37" s="4"/>
      <c r="C37" s="25">
        <v>3.5233333333333297E-2</v>
      </c>
      <c r="D37" s="4"/>
      <c r="E37" s="15">
        <v>0.10166666666666667</v>
      </c>
      <c r="F37" s="4">
        <v>0.19916666666666669</v>
      </c>
      <c r="G37" s="4">
        <v>0.24750000000000003</v>
      </c>
      <c r="H37" s="15">
        <v>3.1883543298386385</v>
      </c>
      <c r="I37" s="15">
        <v>1.3564337964559248</v>
      </c>
      <c r="J37" s="4">
        <f t="shared" si="4"/>
        <v>5.3626449811593808</v>
      </c>
      <c r="K37" s="15">
        <v>-0.13500000000000001</v>
      </c>
      <c r="L37" s="4">
        <v>-5.4166666666666669E-2</v>
      </c>
      <c r="M37" s="16">
        <v>-3.2500000000000001E-2</v>
      </c>
      <c r="N37" s="4"/>
      <c r="O37" s="22">
        <v>1.8422178039999999</v>
      </c>
      <c r="P37" s="22">
        <v>3.5784671970000002</v>
      </c>
      <c r="Q37" s="22">
        <v>3.500012457</v>
      </c>
      <c r="R37" s="16">
        <f t="shared" si="9"/>
        <v>2.5394392133080101</v>
      </c>
      <c r="S37" s="4"/>
      <c r="T37" s="22">
        <v>3.6101663620000002</v>
      </c>
      <c r="U37" s="4">
        <f t="shared" si="10"/>
        <v>3.0353966538739137</v>
      </c>
      <c r="V37" s="22">
        <v>1.880388985</v>
      </c>
      <c r="W37" s="4">
        <f t="shared" si="11"/>
        <v>1.3345606060829398</v>
      </c>
      <c r="X37" s="4">
        <v>7.4999999999999997E-3</v>
      </c>
      <c r="Y37" s="4">
        <f t="shared" si="0"/>
        <v>2.7733333333333297E-2</v>
      </c>
      <c r="Z37" s="4">
        <f t="shared" si="1"/>
        <v>1.3622939394162732</v>
      </c>
      <c r="AA37" s="37">
        <f t="shared" si="5"/>
        <v>2.1528110708148573</v>
      </c>
      <c r="AB37" s="35"/>
      <c r="AC37" s="205">
        <f t="shared" si="6"/>
        <v>0.10166666666666667</v>
      </c>
      <c r="AD37" s="205">
        <f t="shared" si="7"/>
        <v>0.19916666666666669</v>
      </c>
      <c r="AE37" s="202">
        <f>G37</f>
        <v>0.24750000000000003</v>
      </c>
      <c r="AF37" s="15">
        <f t="shared" si="2"/>
        <v>-0.13500000000000001</v>
      </c>
      <c r="AG37" s="15">
        <f t="shared" si="3"/>
        <v>-5.4166666666666669E-2</v>
      </c>
      <c r="AH37" s="15">
        <f>M37</f>
        <v>-3.2500000000000001E-2</v>
      </c>
      <c r="AI37" s="200">
        <f t="shared" si="8"/>
        <v>-4.0555555555555588E-3</v>
      </c>
      <c r="AK37" s="37">
        <f>AA37-AI37</f>
        <v>2.1568666263704128</v>
      </c>
      <c r="AM37" s="106">
        <f>($G$14*AA37)-($G$15*AI37)</f>
        <v>324.77148543321078</v>
      </c>
    </row>
    <row r="38" spans="1:39" x14ac:dyDescent="0.2">
      <c r="A38" s="24">
        <v>41912</v>
      </c>
      <c r="B38" s="4"/>
      <c r="C38" s="25">
        <v>3.59916666666667E-2</v>
      </c>
      <c r="D38" s="4"/>
      <c r="E38" s="15">
        <v>0.10583333333333333</v>
      </c>
      <c r="F38" s="4">
        <v>0.20583333333333334</v>
      </c>
      <c r="G38" s="4">
        <v>0.255</v>
      </c>
      <c r="H38" s="15">
        <v>-0.43329142224554085</v>
      </c>
      <c r="I38" s="15">
        <v>-1.7029454155572443</v>
      </c>
      <c r="J38" s="4">
        <f t="shared" si="4"/>
        <v>-6.2920142335769977</v>
      </c>
      <c r="K38" s="15">
        <v>-0.11666666666666665</v>
      </c>
      <c r="L38" s="4">
        <v>-4.1666666666666664E-2</v>
      </c>
      <c r="M38" s="16">
        <v>-2.75E-2</v>
      </c>
      <c r="N38" s="4"/>
      <c r="O38" s="22">
        <v>-2.44712219</v>
      </c>
      <c r="P38" s="22">
        <v>8.6248196999999999E-2</v>
      </c>
      <c r="Q38" s="22">
        <v>-2.8624586380000001</v>
      </c>
      <c r="R38" s="16">
        <f t="shared" si="9"/>
        <v>-1.782079067738398</v>
      </c>
      <c r="S38" s="4"/>
      <c r="T38" s="22">
        <v>-2.9760022589999999</v>
      </c>
      <c r="U38" s="4">
        <f t="shared" si="10"/>
        <v>-1.7737224764252173</v>
      </c>
      <c r="V38" s="22">
        <v>-1.623993845</v>
      </c>
      <c r="W38" s="4">
        <f t="shared" si="11"/>
        <v>-1.0322829547834123</v>
      </c>
      <c r="X38" s="4">
        <v>7.4999999999999997E-3</v>
      </c>
      <c r="Y38" s="4">
        <f t="shared" si="0"/>
        <v>2.84916666666667E-2</v>
      </c>
      <c r="Z38" s="4">
        <f t="shared" si="1"/>
        <v>-1.0037912881167455</v>
      </c>
      <c r="AA38" s="37">
        <f t="shared" si="5"/>
        <v>-0.63321922178810008</v>
      </c>
      <c r="AB38" s="35"/>
      <c r="AC38" s="205">
        <f t="shared" si="6"/>
        <v>0.10583333333333333</v>
      </c>
      <c r="AD38" s="205">
        <f t="shared" si="7"/>
        <v>0.20583333333333334</v>
      </c>
      <c r="AE38" s="202">
        <f>G38</f>
        <v>0.255</v>
      </c>
      <c r="AF38" s="15">
        <f t="shared" si="2"/>
        <v>-0.11666666666666665</v>
      </c>
      <c r="AG38" s="15">
        <f t="shared" si="3"/>
        <v>-4.1666666666666664E-2</v>
      </c>
      <c r="AH38" s="15">
        <f>M38</f>
        <v>-2.75E-2</v>
      </c>
      <c r="AI38" s="200">
        <f t="shared" si="8"/>
        <v>6.1805555555555529E-3</v>
      </c>
      <c r="AK38" s="37">
        <f>AA38-AI38</f>
        <v>-0.63939977734365561</v>
      </c>
      <c r="AM38" s="106">
        <f>($G$14*AA38)-($G$15*AI38)</f>
        <v>-96.278933616914983</v>
      </c>
    </row>
    <row r="39" spans="1:39" x14ac:dyDescent="0.2">
      <c r="A39" s="24">
        <v>41943</v>
      </c>
      <c r="B39" s="4"/>
      <c r="C39" s="25">
        <v>3.5900000000000001E-2</v>
      </c>
      <c r="D39" s="4"/>
      <c r="E39" s="15">
        <v>8.8333333333333333E-2</v>
      </c>
      <c r="F39" s="4">
        <v>0.1925</v>
      </c>
      <c r="G39" s="4">
        <v>0.24833333333333332</v>
      </c>
      <c r="H39" s="15">
        <v>0.47151301818402214</v>
      </c>
      <c r="I39" s="15">
        <v>1.6125622408445506</v>
      </c>
      <c r="J39" s="4">
        <f t="shared" si="4"/>
        <v>6.5858237254472423</v>
      </c>
      <c r="K39" s="15">
        <v>-0.11583333333333333</v>
      </c>
      <c r="L39" s="4">
        <v>-4.9999999999999996E-2</v>
      </c>
      <c r="M39" s="16">
        <v>-3.5833333333333335E-2</v>
      </c>
      <c r="N39" s="4"/>
      <c r="O39" s="22">
        <v>-1.288030827</v>
      </c>
      <c r="P39" s="22">
        <v>1.890975694</v>
      </c>
      <c r="Q39" s="22">
        <v>1.401027391</v>
      </c>
      <c r="R39" s="16">
        <f t="shared" si="9"/>
        <v>0.7644060992523205</v>
      </c>
      <c r="S39" s="4"/>
      <c r="T39" s="22">
        <v>4.1055074859999996</v>
      </c>
      <c r="U39" s="4">
        <f t="shared" si="10"/>
        <v>2.9296614935149563</v>
      </c>
      <c r="V39" s="22">
        <v>0.43288816099999999</v>
      </c>
      <c r="W39" s="4">
        <f t="shared" si="11"/>
        <v>0.13985393784331757</v>
      </c>
      <c r="X39" s="4">
        <v>7.4999999999999997E-3</v>
      </c>
      <c r="Y39" s="4">
        <f t="shared" si="0"/>
        <v>2.8400000000000002E-2</v>
      </c>
      <c r="Z39" s="4">
        <f t="shared" si="1"/>
        <v>0.16825393784331757</v>
      </c>
      <c r="AA39" s="37">
        <f t="shared" si="5"/>
        <v>0.54311279831289316</v>
      </c>
      <c r="AB39" s="35"/>
      <c r="AC39" s="205">
        <f t="shared" si="6"/>
        <v>8.8333333333333333E-2</v>
      </c>
      <c r="AD39" s="205">
        <f t="shared" si="7"/>
        <v>0.1925</v>
      </c>
      <c r="AE39" s="202">
        <f>G39</f>
        <v>0.24833333333333332</v>
      </c>
      <c r="AF39" s="15">
        <f t="shared" si="2"/>
        <v>-0.11583333333333333</v>
      </c>
      <c r="AG39" s="15">
        <f t="shared" si="3"/>
        <v>-4.9999999999999996E-2</v>
      </c>
      <c r="AH39" s="15">
        <f>M39</f>
        <v>-3.5833333333333335E-2</v>
      </c>
      <c r="AI39" s="200">
        <f t="shared" si="8"/>
        <v>-1.2916666666666667E-3</v>
      </c>
      <c r="AK39" s="37">
        <f>AA39-AI39</f>
        <v>0.54440446497955985</v>
      </c>
      <c r="AM39" s="106">
        <f>($G$14*AA39)-($G$15*AI39)</f>
        <v>81.974078720880556</v>
      </c>
    </row>
    <row r="40" spans="1:39" x14ac:dyDescent="0.2">
      <c r="A40" s="24">
        <v>41973</v>
      </c>
      <c r="B40" s="4"/>
      <c r="C40" s="25">
        <v>3.6041666666666701E-2</v>
      </c>
      <c r="D40" s="4"/>
      <c r="E40" s="15">
        <v>7.0833333333333331E-2</v>
      </c>
      <c r="F40" s="4">
        <v>0.16583333333333333</v>
      </c>
      <c r="G40" s="4">
        <v>0.22166666666666668</v>
      </c>
      <c r="H40" s="15">
        <v>2.5724386206863681</v>
      </c>
      <c r="I40" s="15">
        <v>-0.45060331009494359</v>
      </c>
      <c r="J40" s="4">
        <f t="shared" si="4"/>
        <v>-3.5453516365041846</v>
      </c>
      <c r="K40" s="15">
        <v>-0.1275</v>
      </c>
      <c r="L40" s="4">
        <v>-7.4999999999999997E-2</v>
      </c>
      <c r="M40" s="16">
        <v>-5.8333333333333327E-2</v>
      </c>
      <c r="N40" s="4"/>
      <c r="O40" s="22">
        <v>3.3297636110000002</v>
      </c>
      <c r="P40" s="22">
        <v>4.3919557889999998</v>
      </c>
      <c r="Q40" s="22">
        <v>5.229876827</v>
      </c>
      <c r="R40" s="16">
        <f t="shared" si="9"/>
        <v>4.3367826814504644</v>
      </c>
      <c r="S40" s="4"/>
      <c r="T40" s="22">
        <v>6.1889780879999998</v>
      </c>
      <c r="U40" s="4">
        <f t="shared" si="10"/>
        <v>5.5371147691029909</v>
      </c>
      <c r="V40" s="22">
        <v>1.1967828460000001</v>
      </c>
      <c r="W40" s="4">
        <f t="shared" si="11"/>
        <v>0.9853970643686637</v>
      </c>
      <c r="X40" s="4">
        <v>7.4999999999999997E-3</v>
      </c>
      <c r="Y40" s="4">
        <f t="shared" si="0"/>
        <v>2.8541666666666701E-2</v>
      </c>
      <c r="Z40" s="4">
        <f t="shared" si="1"/>
        <v>1.0139387310353305</v>
      </c>
      <c r="AA40" s="37">
        <f t="shared" si="5"/>
        <v>2.6535892327475388</v>
      </c>
      <c r="AB40" s="35"/>
      <c r="AC40" s="205">
        <f t="shared" si="6"/>
        <v>7.0833333333333331E-2</v>
      </c>
      <c r="AD40" s="205">
        <f t="shared" si="7"/>
        <v>0.16583333333333333</v>
      </c>
      <c r="AE40" s="202">
        <f>G40</f>
        <v>0.22166666666666668</v>
      </c>
      <c r="AF40" s="15">
        <f t="shared" si="2"/>
        <v>-0.1275</v>
      </c>
      <c r="AG40" s="15">
        <f t="shared" si="3"/>
        <v>-7.4999999999999997E-2</v>
      </c>
      <c r="AH40" s="15">
        <f>M40</f>
        <v>-5.8333333333333327E-2</v>
      </c>
      <c r="AI40" s="200">
        <f t="shared" si="8"/>
        <v>-2.2805555555555558E-2</v>
      </c>
      <c r="AK40" s="37">
        <f>AA40-AI40</f>
        <v>2.6763947883030945</v>
      </c>
      <c r="AM40" s="106">
        <f>($G$14*AA40)-($G$15*AI40)</f>
        <v>403.0030657864138</v>
      </c>
    </row>
    <row r="41" spans="1:39" x14ac:dyDescent="0.2">
      <c r="A41" s="24">
        <v>42004</v>
      </c>
      <c r="B41" s="4"/>
      <c r="C41" s="25">
        <v>3.5666666666666701E-2</v>
      </c>
      <c r="D41" s="4"/>
      <c r="E41" s="15">
        <v>6.4166666666666664E-2</v>
      </c>
      <c r="F41" s="4">
        <v>0.15166666666666667</v>
      </c>
      <c r="G41" s="4">
        <v>0.20666666666666667</v>
      </c>
      <c r="H41" s="15">
        <v>1.4790637132695239</v>
      </c>
      <c r="I41" s="15">
        <v>-1.2777746041036986</v>
      </c>
      <c r="J41" s="4">
        <f t="shared" si="4"/>
        <v>-2.5185315451168311</v>
      </c>
      <c r="K41" s="15">
        <v>-0.13583333333333333</v>
      </c>
      <c r="L41" s="4">
        <v>-8.2500000000000004E-2</v>
      </c>
      <c r="M41" s="16">
        <v>-6.5833333333333341E-2</v>
      </c>
      <c r="N41" s="4"/>
      <c r="O41" s="22">
        <v>-2.0395404290000001</v>
      </c>
      <c r="P41" s="22">
        <v>-0.60107605600000003</v>
      </c>
      <c r="Q41" s="22">
        <v>-0.22718664799999999</v>
      </c>
      <c r="R41" s="16">
        <f t="shared" si="9"/>
        <v>0.68560721789009293</v>
      </c>
      <c r="S41" s="4"/>
      <c r="T41" s="22">
        <v>-0.49731767999999998</v>
      </c>
      <c r="U41" s="4">
        <f t="shared" si="10"/>
        <v>0.70956880982059811</v>
      </c>
      <c r="V41" s="22">
        <v>-1.175582651</v>
      </c>
      <c r="W41" s="4">
        <f t="shared" si="11"/>
        <v>-0.74338670792626727</v>
      </c>
      <c r="X41" s="4">
        <v>0.01</v>
      </c>
      <c r="Y41" s="4">
        <f t="shared" si="0"/>
        <v>2.5666666666666699E-2</v>
      </c>
      <c r="Z41" s="4">
        <f t="shared" si="1"/>
        <v>-0.71772004125960054</v>
      </c>
      <c r="AA41" s="37">
        <f t="shared" si="5"/>
        <v>-0.18651939975316809</v>
      </c>
      <c r="AB41" s="35"/>
      <c r="AC41" s="205">
        <f t="shared" si="6"/>
        <v>6.4166666666666664E-2</v>
      </c>
      <c r="AD41" s="205">
        <f t="shared" si="7"/>
        <v>0.15166666666666667</v>
      </c>
      <c r="AE41" s="202">
        <f>G41</f>
        <v>0.20666666666666667</v>
      </c>
      <c r="AF41" s="15">
        <f t="shared" si="2"/>
        <v>-0.13583333333333333</v>
      </c>
      <c r="AG41" s="15">
        <f t="shared" si="3"/>
        <v>-8.2500000000000004E-2</v>
      </c>
      <c r="AH41" s="15">
        <f>M41</f>
        <v>-6.5833333333333341E-2</v>
      </c>
      <c r="AI41" s="200">
        <f t="shared" si="8"/>
        <v>-3.1708333333333338E-2</v>
      </c>
      <c r="AK41" s="37">
        <f>AA41-AI41</f>
        <v>-0.15481106641983475</v>
      </c>
      <c r="AM41" s="106">
        <f>($G$14*AA41)-($G$15*AI41)</f>
        <v>-23.3047991025513</v>
      </c>
    </row>
    <row r="42" spans="1:39" x14ac:dyDescent="0.2">
      <c r="A42" s="24">
        <v>42035</v>
      </c>
      <c r="B42" s="4"/>
      <c r="C42" s="25">
        <v>3.6291666666666701E-2</v>
      </c>
      <c r="D42" s="4"/>
      <c r="E42" s="15">
        <v>4.9999999999999996E-2</v>
      </c>
      <c r="F42" s="4">
        <v>0.11583333333333333</v>
      </c>
      <c r="G42" s="4">
        <v>0.16749999999999998</v>
      </c>
      <c r="H42" s="15">
        <v>6.0089659027047322</v>
      </c>
      <c r="I42" s="15">
        <v>1.1830048495998224</v>
      </c>
      <c r="J42" s="4">
        <f t="shared" si="4"/>
        <v>4.8741740301551033</v>
      </c>
      <c r="K42" s="15">
        <v>-0.12</v>
      </c>
      <c r="L42" s="4">
        <v>-9.0833333333333335E-2</v>
      </c>
      <c r="M42" s="16">
        <v>-8.2500000000000004E-2</v>
      </c>
      <c r="N42" s="4"/>
      <c r="O42" s="22">
        <v>3.0088951989999999</v>
      </c>
      <c r="P42" s="22">
        <v>1.3638874560000001</v>
      </c>
      <c r="Q42" s="22">
        <v>3.2935761729999999</v>
      </c>
      <c r="R42" s="16">
        <f t="shared" si="9"/>
        <v>2.7719823819780185</v>
      </c>
      <c r="S42" s="4"/>
      <c r="T42" s="22">
        <v>7.2494729490000003</v>
      </c>
      <c r="U42" s="4">
        <f t="shared" si="10"/>
        <v>5.9414921211641207</v>
      </c>
      <c r="V42" s="22">
        <v>-1.2892128140000001</v>
      </c>
      <c r="W42" s="4">
        <f t="shared" si="11"/>
        <v>-1.1800475927852534</v>
      </c>
      <c r="X42" s="4">
        <v>9.1666666666666667E-3</v>
      </c>
      <c r="Y42" s="4">
        <f t="shared" si="0"/>
        <v>2.7125000000000035E-2</v>
      </c>
      <c r="Z42" s="4">
        <f t="shared" si="1"/>
        <v>-1.1529225927852533</v>
      </c>
      <c r="AA42" s="37">
        <f t="shared" si="5"/>
        <v>2.4047017706743326</v>
      </c>
      <c r="AB42" s="35"/>
      <c r="AC42" s="205">
        <f t="shared" si="6"/>
        <v>4.9999999999999996E-2</v>
      </c>
      <c r="AD42" s="205">
        <f t="shared" si="7"/>
        <v>0.11583333333333333</v>
      </c>
      <c r="AE42" s="202">
        <f>G42</f>
        <v>0.16749999999999998</v>
      </c>
      <c r="AF42" s="15">
        <f t="shared" si="2"/>
        <v>-0.12</v>
      </c>
      <c r="AG42" s="15">
        <f t="shared" si="3"/>
        <v>-9.0833333333333335E-2</v>
      </c>
      <c r="AH42" s="15">
        <f>M42</f>
        <v>-8.2500000000000004E-2</v>
      </c>
      <c r="AI42" s="200">
        <f t="shared" si="8"/>
        <v>-4.300000000000001E-2</v>
      </c>
      <c r="AK42" s="37">
        <f>AA42-AI42</f>
        <v>2.4477017706743327</v>
      </c>
      <c r="AM42" s="106">
        <f>($G$14*AA42)-($G$15*AI42)</f>
        <v>368.57132538838482</v>
      </c>
    </row>
    <row r="43" spans="1:39" x14ac:dyDescent="0.2">
      <c r="A43" s="24">
        <v>42063</v>
      </c>
      <c r="B43" s="4"/>
      <c r="C43" s="25">
        <v>3.7591666666666697E-2</v>
      </c>
      <c r="D43" s="4"/>
      <c r="E43" s="15">
        <v>7.166666666666667E-2</v>
      </c>
      <c r="F43" s="4">
        <v>0.155</v>
      </c>
      <c r="G43" s="4">
        <v>0.20499999999999999</v>
      </c>
      <c r="H43" s="15">
        <v>-3.6375515686267956</v>
      </c>
      <c r="I43" s="15">
        <v>2.0940890887866437</v>
      </c>
      <c r="J43" s="4">
        <f t="shared" si="4"/>
        <v>3.4607154475668755</v>
      </c>
      <c r="K43" s="15">
        <v>-0.11583333333333333</v>
      </c>
      <c r="L43" s="4">
        <v>-7.166666666666667E-2</v>
      </c>
      <c r="M43" s="16">
        <v>-6.083333333333333E-2</v>
      </c>
      <c r="N43" s="4"/>
      <c r="O43" s="22">
        <v>3.1923561500000002</v>
      </c>
      <c r="P43" s="22">
        <v>2.8339918040000001</v>
      </c>
      <c r="Q43" s="22">
        <v>2.2721338470000001</v>
      </c>
      <c r="R43" s="16">
        <f t="shared" si="9"/>
        <v>2.3721035539956041</v>
      </c>
      <c r="S43" s="4"/>
      <c r="T43" s="22">
        <v>1.4696492400000001</v>
      </c>
      <c r="U43" s="4">
        <f t="shared" si="10"/>
        <v>2.3640178162328245</v>
      </c>
      <c r="V43" s="22">
        <v>3.3738513760000002</v>
      </c>
      <c r="W43" s="4">
        <f t="shared" si="11"/>
        <v>2.4630715822429496</v>
      </c>
      <c r="X43" s="4">
        <v>9.1666666666666667E-3</v>
      </c>
      <c r="Y43" s="4">
        <f t="shared" si="0"/>
        <v>2.842500000000003E-2</v>
      </c>
      <c r="Z43" s="4">
        <f t="shared" si="1"/>
        <v>2.4914965822429496</v>
      </c>
      <c r="AA43" s="37">
        <f t="shared" si="5"/>
        <v>0.8220675256694463</v>
      </c>
      <c r="AB43" s="35"/>
      <c r="AC43" s="205">
        <f t="shared" si="6"/>
        <v>7.166666666666667E-2</v>
      </c>
      <c r="AD43" s="205">
        <f t="shared" si="7"/>
        <v>0.155</v>
      </c>
      <c r="AE43" s="202">
        <f>G43</f>
        <v>0.20499999999999999</v>
      </c>
      <c r="AF43" s="15">
        <f t="shared" si="2"/>
        <v>-0.11583333333333333</v>
      </c>
      <c r="AG43" s="15">
        <f t="shared" si="3"/>
        <v>-7.166666666666667E-2</v>
      </c>
      <c r="AH43" s="15">
        <f>M43</f>
        <v>-6.083333333333333E-2</v>
      </c>
      <c r="AI43" s="200">
        <f t="shared" si="8"/>
        <v>-2.2513888888888896E-2</v>
      </c>
      <c r="AK43" s="37">
        <f>AA43-AI43</f>
        <v>0.84458141455833524</v>
      </c>
      <c r="AM43" s="106">
        <f>($G$14*AA43)-($G$15*AI43)</f>
        <v>127.17725694440522</v>
      </c>
    </row>
    <row r="44" spans="1:39" x14ac:dyDescent="0.2">
      <c r="A44" s="24">
        <v>42094</v>
      </c>
      <c r="B44" s="4"/>
      <c r="C44" s="25">
        <v>3.80666666666667E-2</v>
      </c>
      <c r="D44" s="4"/>
      <c r="E44" s="15">
        <v>5.5833333333333339E-2</v>
      </c>
      <c r="F44" s="4">
        <v>0.13833333333333334</v>
      </c>
      <c r="G44" s="4">
        <v>0.19083333333333333</v>
      </c>
      <c r="H44" s="15">
        <v>1.1854893142214218</v>
      </c>
      <c r="I44" s="15">
        <v>-0.77587497808463413</v>
      </c>
      <c r="J44" s="4">
        <f t="shared" si="4"/>
        <v>-5.0808210783915504</v>
      </c>
      <c r="K44" s="15">
        <v>-0.14416666666666667</v>
      </c>
      <c r="L44" s="4">
        <v>-9.1666666666666674E-2</v>
      </c>
      <c r="M44" s="16">
        <v>-7.9166666666666663E-2</v>
      </c>
      <c r="N44" s="4"/>
      <c r="O44" s="22">
        <v>-1.917313107</v>
      </c>
      <c r="P44" s="22">
        <v>2.7172938609999999</v>
      </c>
      <c r="Q44" s="22">
        <v>5.4529302169999996</v>
      </c>
      <c r="R44" s="16">
        <f t="shared" si="9"/>
        <v>4.8367648843991207</v>
      </c>
      <c r="S44" s="4"/>
      <c r="T44" s="22">
        <v>1.0215770209999999</v>
      </c>
      <c r="U44" s="4">
        <f t="shared" si="10"/>
        <v>1.290065180046565</v>
      </c>
      <c r="V44" s="22">
        <v>-0.177350749</v>
      </c>
      <c r="W44" s="4">
        <f t="shared" si="11"/>
        <v>0.35073371724858993</v>
      </c>
      <c r="X44" s="4">
        <v>9.1666666666666667E-3</v>
      </c>
      <c r="Y44" s="4">
        <f t="shared" si="0"/>
        <v>2.8900000000000033E-2</v>
      </c>
      <c r="Z44" s="4">
        <f t="shared" si="1"/>
        <v>0.37963371724858996</v>
      </c>
      <c r="AA44" s="37">
        <f t="shared" si="5"/>
        <v>0.79790760681101336</v>
      </c>
      <c r="AB44" s="35"/>
      <c r="AC44" s="205">
        <f t="shared" si="6"/>
        <v>5.5833333333333339E-2</v>
      </c>
      <c r="AD44" s="205">
        <f t="shared" si="7"/>
        <v>0.13833333333333334</v>
      </c>
      <c r="AE44" s="202">
        <f>G44</f>
        <v>0.19083333333333333</v>
      </c>
      <c r="AF44" s="15">
        <f t="shared" si="2"/>
        <v>-0.14416666666666667</v>
      </c>
      <c r="AG44" s="15">
        <f t="shared" si="3"/>
        <v>-9.1666666666666674E-2</v>
      </c>
      <c r="AH44" s="15">
        <f>M44</f>
        <v>-7.9166666666666663E-2</v>
      </c>
      <c r="AI44" s="200">
        <f t="shared" si="8"/>
        <v>-4.2666666666666672E-2</v>
      </c>
      <c r="AK44" s="37">
        <f>AA44-AI44</f>
        <v>0.84057427347767999</v>
      </c>
      <c r="AM44" s="106">
        <f>($G$14*AA44)-($G$15*AI44)</f>
        <v>126.57764052598463</v>
      </c>
    </row>
    <row r="45" spans="1:39" x14ac:dyDescent="0.2">
      <c r="A45" s="24">
        <v>42124</v>
      </c>
      <c r="B45" s="4"/>
      <c r="C45" s="25">
        <v>3.8116666666666701E-2</v>
      </c>
      <c r="D45" s="4"/>
      <c r="E45" s="15">
        <v>6.9999999999999993E-2</v>
      </c>
      <c r="F45" s="4">
        <v>0.16166666666666665</v>
      </c>
      <c r="G45" s="4">
        <v>0.21083333333333332</v>
      </c>
      <c r="H45" s="15">
        <v>-2.2229609455409638</v>
      </c>
      <c r="I45" s="15">
        <v>0.65171915556261339</v>
      </c>
      <c r="J45" s="4">
        <f t="shared" si="4"/>
        <v>2.7931103560334845</v>
      </c>
      <c r="K45" s="15">
        <v>-0.14666666666666667</v>
      </c>
      <c r="L45" s="4">
        <v>-8.3333333333333329E-2</v>
      </c>
      <c r="M45" s="16">
        <v>-7.2499999999999995E-2</v>
      </c>
      <c r="N45" s="4"/>
      <c r="O45" s="22">
        <v>2.9226330570000001</v>
      </c>
      <c r="P45" s="22">
        <v>-1.022640811</v>
      </c>
      <c r="Q45" s="22">
        <v>-2.7109041070000002</v>
      </c>
      <c r="R45" s="16">
        <f t="shared" si="9"/>
        <v>-1.2013703087201759</v>
      </c>
      <c r="S45" s="4"/>
      <c r="T45" s="22">
        <v>-0.786004288</v>
      </c>
      <c r="U45" s="4">
        <f t="shared" si="10"/>
        <v>-0.37079039439068706</v>
      </c>
      <c r="V45" s="22">
        <v>0.23981090899999999</v>
      </c>
      <c r="W45" s="4">
        <f t="shared" si="11"/>
        <v>0.26199547064971801</v>
      </c>
      <c r="X45" s="4">
        <v>0.01</v>
      </c>
      <c r="Y45" s="4">
        <f t="shared" si="0"/>
        <v>2.81166666666667E-2</v>
      </c>
      <c r="Z45" s="4">
        <f t="shared" si="1"/>
        <v>0.29011213731638469</v>
      </c>
      <c r="AA45" s="37">
        <f t="shared" si="5"/>
        <v>-0.23417506109101072</v>
      </c>
      <c r="AB45" s="35"/>
      <c r="AC45" s="205">
        <f t="shared" si="6"/>
        <v>6.9999999999999993E-2</v>
      </c>
      <c r="AD45" s="205">
        <f t="shared" si="7"/>
        <v>0.16166666666666665</v>
      </c>
      <c r="AE45" s="202">
        <f>G45</f>
        <v>0.21083333333333332</v>
      </c>
      <c r="AF45" s="15">
        <f t="shared" si="2"/>
        <v>-0.14666666666666667</v>
      </c>
      <c r="AG45" s="15">
        <f t="shared" si="3"/>
        <v>-8.3333333333333329E-2</v>
      </c>
      <c r="AH45" s="15">
        <f>M45</f>
        <v>-7.2499999999999995E-2</v>
      </c>
      <c r="AI45" s="200">
        <f t="shared" si="8"/>
        <v>-3.4055555555555561E-2</v>
      </c>
      <c r="AK45" s="37">
        <f>AA45-AI45</f>
        <v>-0.20011950553545516</v>
      </c>
      <c r="AM45" s="106">
        <f>($G$14*AA45)-($G$15*AI45)</f>
        <v>-30.126690678548144</v>
      </c>
    </row>
    <row r="46" spans="1:39" x14ac:dyDescent="0.2">
      <c r="A46" s="24">
        <v>42155</v>
      </c>
      <c r="B46" s="4"/>
      <c r="C46" s="25">
        <v>3.85E-2</v>
      </c>
      <c r="D46" s="4"/>
      <c r="E46" s="15">
        <v>6.7500000000000004E-2</v>
      </c>
      <c r="F46" s="4">
        <v>0.16</v>
      </c>
      <c r="G46" s="4">
        <v>0.21083333333333332</v>
      </c>
      <c r="H46" s="15">
        <v>0.37532703476401696</v>
      </c>
      <c r="I46" s="15">
        <v>-0.13018686351002895</v>
      </c>
      <c r="J46" s="4">
        <f t="shared" si="4"/>
        <v>-1.3030458921189925</v>
      </c>
      <c r="K46" s="15">
        <v>-0.14083333333333334</v>
      </c>
      <c r="L46" s="4">
        <v>-8.1666666666666665E-2</v>
      </c>
      <c r="M46" s="16">
        <v>-7.4166666666666672E-2</v>
      </c>
      <c r="N46" s="4"/>
      <c r="O46" s="22">
        <v>0.52548570699999997</v>
      </c>
      <c r="P46" s="22">
        <v>0.49230444699999998</v>
      </c>
      <c r="Q46" s="22">
        <v>1.077537572</v>
      </c>
      <c r="R46" s="16">
        <f t="shared" si="9"/>
        <v>0.62175599585596486</v>
      </c>
      <c r="S46" s="4"/>
      <c r="T46" s="22">
        <v>3.4959349629999998</v>
      </c>
      <c r="U46" s="4">
        <f t="shared" si="10"/>
        <v>2.7225898915218627</v>
      </c>
      <c r="V46" s="22">
        <v>-3.4112469999999999E-2</v>
      </c>
      <c r="W46" s="4">
        <f t="shared" si="11"/>
        <v>2.5109118129943604E-2</v>
      </c>
      <c r="X46" s="4">
        <v>0.01</v>
      </c>
      <c r="Y46" s="4">
        <f t="shared" si="0"/>
        <v>2.8499999999999998E-2</v>
      </c>
      <c r="Z46" s="4">
        <f t="shared" si="1"/>
        <v>5.3609118129943602E-2</v>
      </c>
      <c r="AA46" s="37">
        <f t="shared" si="5"/>
        <v>0.44906329589973976</v>
      </c>
      <c r="AB46" s="35"/>
      <c r="AC46" s="205">
        <f t="shared" si="6"/>
        <v>6.7500000000000004E-2</v>
      </c>
      <c r="AD46" s="205">
        <f t="shared" si="7"/>
        <v>0.16</v>
      </c>
      <c r="AE46" s="202">
        <f>G46</f>
        <v>0.21083333333333332</v>
      </c>
      <c r="AF46" s="15">
        <f t="shared" si="2"/>
        <v>-0.14083333333333334</v>
      </c>
      <c r="AG46" s="15">
        <f t="shared" si="3"/>
        <v>-8.1666666666666665E-2</v>
      </c>
      <c r="AH46" s="15">
        <f>M46</f>
        <v>-7.4166666666666672E-2</v>
      </c>
      <c r="AI46" s="200">
        <f t="shared" si="8"/>
        <v>-3.3138888888888898E-2</v>
      </c>
      <c r="AK46" s="37">
        <f>AA46-AI46</f>
        <v>0.48220218478862864</v>
      </c>
      <c r="AM46" s="106">
        <f>($G$14*AA46)-($G$15*AI46)</f>
        <v>72.613896553864038</v>
      </c>
    </row>
    <row r="47" spans="1:39" x14ac:dyDescent="0.2">
      <c r="A47" s="24">
        <v>42185</v>
      </c>
      <c r="B47" s="4"/>
      <c r="C47" s="25">
        <v>3.805E-2</v>
      </c>
      <c r="D47" s="4"/>
      <c r="E47" s="15">
        <v>0.08</v>
      </c>
      <c r="F47" s="4">
        <v>0.18000000000000002</v>
      </c>
      <c r="G47" s="4">
        <v>0.22916666666666666</v>
      </c>
      <c r="H47" s="15">
        <v>-3.6542343023703516</v>
      </c>
      <c r="I47" s="15">
        <v>-1.8355747500308994</v>
      </c>
      <c r="J47" s="4">
        <f t="shared" si="4"/>
        <v>-4.3936565798122045</v>
      </c>
      <c r="K47" s="15">
        <v>-0.13500000000000001</v>
      </c>
      <c r="L47" s="4">
        <v>-7.0833333333333331E-2</v>
      </c>
      <c r="M47" s="16">
        <v>-6.083333333333333E-2</v>
      </c>
      <c r="N47" s="4"/>
      <c r="O47" s="22">
        <v>-5.8993048029999997</v>
      </c>
      <c r="P47" s="22">
        <v>-4.9848829779999999</v>
      </c>
      <c r="Q47" s="22">
        <v>-4.9689090089999999</v>
      </c>
      <c r="R47" s="16">
        <f t="shared" si="9"/>
        <v>-3.8507760080288067</v>
      </c>
      <c r="S47" s="4"/>
      <c r="T47" s="22">
        <v>-4.8292852350000004</v>
      </c>
      <c r="U47" s="4">
        <f t="shared" si="10"/>
        <v>-3.3189102096956278</v>
      </c>
      <c r="V47" s="22">
        <v>-1.3772023259999999</v>
      </c>
      <c r="W47" s="4">
        <f t="shared" si="11"/>
        <v>-1.0967400371740113</v>
      </c>
      <c r="X47" s="4">
        <v>1.0833333333333334E-2</v>
      </c>
      <c r="Y47" s="4">
        <f t="shared" si="0"/>
        <v>2.7216666666666667E-2</v>
      </c>
      <c r="Z47" s="4">
        <f t="shared" si="1"/>
        <v>-1.0695233705073446</v>
      </c>
      <c r="AA47" s="37">
        <f t="shared" si="5"/>
        <v>-3.3442885744124804</v>
      </c>
      <c r="AB47" s="35"/>
      <c r="AC47" s="205">
        <f t="shared" si="6"/>
        <v>0.08</v>
      </c>
      <c r="AD47" s="205">
        <f t="shared" si="7"/>
        <v>0.18000000000000002</v>
      </c>
      <c r="AE47" s="202">
        <f>G47</f>
        <v>0.22916666666666666</v>
      </c>
      <c r="AF47" s="15">
        <f t="shared" si="2"/>
        <v>-0.13500000000000001</v>
      </c>
      <c r="AG47" s="15">
        <f t="shared" si="3"/>
        <v>-7.0833333333333331E-2</v>
      </c>
      <c r="AH47" s="15">
        <f>M47</f>
        <v>-6.083333333333333E-2</v>
      </c>
      <c r="AI47" s="200">
        <f t="shared" si="8"/>
        <v>-2.1027777777777784E-2</v>
      </c>
      <c r="AK47" s="37">
        <f>AA47-AI47</f>
        <v>-3.3232607966347025</v>
      </c>
      <c r="AM47" s="106">
        <f>($G$14*AA47)-($G$15*AI47)</f>
        <v>-500.39689804219159</v>
      </c>
    </row>
    <row r="48" spans="1:39" x14ac:dyDescent="0.2">
      <c r="A48" s="24">
        <v>42216</v>
      </c>
      <c r="B48" s="4"/>
      <c r="C48" s="25">
        <v>3.7908333333333301E-2</v>
      </c>
      <c r="D48" s="4"/>
      <c r="E48" s="15">
        <v>7.9166666666666663E-2</v>
      </c>
      <c r="F48" s="4">
        <v>0.16749999999999998</v>
      </c>
      <c r="G48" s="4">
        <v>0.21583333333333332</v>
      </c>
      <c r="H48" s="15">
        <v>2.5427262752982904</v>
      </c>
      <c r="I48" s="15">
        <v>0.19396133752374034</v>
      </c>
      <c r="J48" s="4">
        <f t="shared" si="4"/>
        <v>3.2382654688556998</v>
      </c>
      <c r="K48" s="15">
        <v>-0.11833333333333333</v>
      </c>
      <c r="L48" s="4">
        <v>-7.4999999999999997E-2</v>
      </c>
      <c r="M48" s="16">
        <v>-7.0833333333333331E-2</v>
      </c>
      <c r="N48" s="4"/>
      <c r="O48" s="22">
        <v>2.785079165</v>
      </c>
      <c r="P48" s="22">
        <v>2.6612590190000001</v>
      </c>
      <c r="Q48" s="22">
        <v>1.9408156620000001</v>
      </c>
      <c r="R48" s="16">
        <f t="shared" si="9"/>
        <v>0.78249732799423888</v>
      </c>
      <c r="S48" s="4"/>
      <c r="T48" s="22">
        <v>7.0263007929999999</v>
      </c>
      <c r="U48" s="4">
        <f t="shared" si="10"/>
        <v>4.9572585924608745</v>
      </c>
      <c r="V48" s="22">
        <v>-3.4901799999999997E-2</v>
      </c>
      <c r="W48" s="4">
        <f t="shared" si="11"/>
        <v>-0.24726944743480225</v>
      </c>
      <c r="X48" s="4">
        <v>1.0833333333333334E-2</v>
      </c>
      <c r="Y48" s="4">
        <f t="shared" si="0"/>
        <v>2.7074999999999967E-2</v>
      </c>
      <c r="Z48" s="4">
        <f t="shared" si="1"/>
        <v>-0.22019444743480229</v>
      </c>
      <c r="AA48" s="37">
        <f t="shared" si="5"/>
        <v>1.9551601207275044</v>
      </c>
      <c r="AB48" s="35"/>
      <c r="AC48" s="205">
        <f t="shared" si="6"/>
        <v>7.9166666666666663E-2</v>
      </c>
      <c r="AD48" s="205">
        <f t="shared" si="7"/>
        <v>0.16749999999999998</v>
      </c>
      <c r="AE48" s="202">
        <f>G48</f>
        <v>0.21583333333333332</v>
      </c>
      <c r="AF48" s="15">
        <f t="shared" si="2"/>
        <v>-0.11833333333333333</v>
      </c>
      <c r="AG48" s="15">
        <f t="shared" si="3"/>
        <v>-7.4999999999999997E-2</v>
      </c>
      <c r="AH48" s="15">
        <f>M48</f>
        <v>-7.0833333333333331E-2</v>
      </c>
      <c r="AI48" s="200">
        <f t="shared" si="8"/>
        <v>-2.3861111111111121E-2</v>
      </c>
      <c r="AK48" s="37">
        <f>AA48-AI48</f>
        <v>1.9790212318386156</v>
      </c>
      <c r="AM48" s="106">
        <f>($G$14*AA48)-($G$15*AI48)</f>
        <v>297.9960659777725</v>
      </c>
    </row>
    <row r="49" spans="1:39" x14ac:dyDescent="0.2">
      <c r="A49" s="24">
        <v>42247</v>
      </c>
      <c r="B49" s="4"/>
      <c r="C49" s="25">
        <v>3.8249999999999999E-2</v>
      </c>
      <c r="D49" s="4"/>
      <c r="E49" s="15">
        <v>7.4999999999999997E-2</v>
      </c>
      <c r="F49" s="4">
        <v>0.16416666666666666</v>
      </c>
      <c r="G49" s="4">
        <v>0.21666666666666667</v>
      </c>
      <c r="H49" s="15">
        <v>-2.0562684973590928</v>
      </c>
      <c r="I49" s="15">
        <v>-1.5737927055170298</v>
      </c>
      <c r="J49" s="4">
        <f t="shared" si="4"/>
        <v>-4.2254237700781845</v>
      </c>
      <c r="K49" s="15">
        <v>-0.10416666666666667</v>
      </c>
      <c r="L49" s="4">
        <v>-6.7500000000000004E-2</v>
      </c>
      <c r="M49" s="16">
        <v>-6.7500000000000004E-2</v>
      </c>
      <c r="N49" s="4"/>
      <c r="O49" s="22">
        <v>-7.1603011910000003</v>
      </c>
      <c r="P49" s="22">
        <v>-4.3530443779999999</v>
      </c>
      <c r="Q49" s="22">
        <v>-3.5885836289999999</v>
      </c>
      <c r="R49" s="16">
        <f t="shared" si="9"/>
        <v>-2.7143674376011524</v>
      </c>
      <c r="S49" s="4"/>
      <c r="T49" s="22">
        <v>-2.9387048139999998</v>
      </c>
      <c r="U49" s="4">
        <f t="shared" si="10"/>
        <v>-1.359512132707825</v>
      </c>
      <c r="V49" s="22">
        <v>-1.7179120510000001</v>
      </c>
      <c r="W49" s="4">
        <f t="shared" si="11"/>
        <v>-1.4237835302869606</v>
      </c>
      <c r="X49" s="4">
        <v>1.1666666666666667E-2</v>
      </c>
      <c r="Y49" s="4">
        <f t="shared" si="0"/>
        <v>2.6583333333333334E-2</v>
      </c>
      <c r="Z49" s="4">
        <f t="shared" si="1"/>
        <v>-1.3972001969536272</v>
      </c>
      <c r="AA49" s="37">
        <f t="shared" si="5"/>
        <v>-2.9682787226250409</v>
      </c>
      <c r="AB49" s="35"/>
      <c r="AC49" s="205">
        <f t="shared" si="6"/>
        <v>7.4999999999999997E-2</v>
      </c>
      <c r="AD49" s="205">
        <f t="shared" si="7"/>
        <v>0.16416666666666666</v>
      </c>
      <c r="AE49" s="202">
        <f>G49</f>
        <v>0.21666666666666667</v>
      </c>
      <c r="AF49" s="15">
        <f t="shared" si="2"/>
        <v>-0.10416666666666667</v>
      </c>
      <c r="AG49" s="15">
        <f t="shared" si="3"/>
        <v>-6.7500000000000004E-2</v>
      </c>
      <c r="AH49" s="15">
        <f>M49</f>
        <v>-6.7500000000000004E-2</v>
      </c>
      <c r="AI49" s="200">
        <f t="shared" si="8"/>
        <v>-1.848611111111112E-2</v>
      </c>
      <c r="AK49" s="37">
        <f>AA49-AI49</f>
        <v>-2.9497926115139297</v>
      </c>
      <c r="AM49" s="106">
        <f>($G$14*AA49)-($G$15*AI49)</f>
        <v>-444.16230735663987</v>
      </c>
    </row>
    <row r="50" spans="1:39" x14ac:dyDescent="0.2">
      <c r="A50" s="24">
        <v>42277</v>
      </c>
      <c r="B50" s="4"/>
      <c r="C50" s="25">
        <v>3.7866666666666701E-2</v>
      </c>
      <c r="D50" s="4"/>
      <c r="E50" s="15">
        <v>6.4166666666666664E-2</v>
      </c>
      <c r="F50" s="4">
        <v>0.14916666666666667</v>
      </c>
      <c r="G50" s="4">
        <v>0.20916666666666664</v>
      </c>
      <c r="H50" s="15">
        <v>0.59783704388381986</v>
      </c>
      <c r="I50" s="15">
        <v>-2.8866130758421926</v>
      </c>
      <c r="J50" s="4">
        <f t="shared" si="4"/>
        <v>-4.8558436313299369</v>
      </c>
      <c r="K50" s="15">
        <v>-0.12166666666666666</v>
      </c>
      <c r="L50" s="4">
        <v>-7.4999999999999997E-2</v>
      </c>
      <c r="M50" s="16">
        <v>-6.9999999999999993E-2</v>
      </c>
      <c r="N50" s="4"/>
      <c r="O50" s="22">
        <v>-1.2732140240000001</v>
      </c>
      <c r="P50" s="22">
        <v>-2.8583985520000001</v>
      </c>
      <c r="Q50" s="22">
        <v>-5.7445688150000001</v>
      </c>
      <c r="R50" s="16">
        <f t="shared" si="9"/>
        <v>-5.1385285395202311</v>
      </c>
      <c r="S50" s="4"/>
      <c r="T50" s="22">
        <v>1.4625850460000001</v>
      </c>
      <c r="U50" s="4">
        <f t="shared" si="10"/>
        <v>0.898165610258435</v>
      </c>
      <c r="V50" s="22">
        <v>-0.92620691700000002</v>
      </c>
      <c r="W50" s="4">
        <f t="shared" si="11"/>
        <v>-1.0257222396573922</v>
      </c>
      <c r="X50" s="4">
        <v>1.1666666666666667E-2</v>
      </c>
      <c r="Y50" s="4">
        <f t="shared" si="0"/>
        <v>2.6200000000000036E-2</v>
      </c>
      <c r="Z50" s="4">
        <f t="shared" si="1"/>
        <v>-0.99952223965739218</v>
      </c>
      <c r="AA50" s="37">
        <f t="shared" si="5"/>
        <v>-0.94912629185626851</v>
      </c>
      <c r="AB50" s="35"/>
      <c r="AC50" s="205">
        <f t="shared" si="6"/>
        <v>6.4166666666666664E-2</v>
      </c>
      <c r="AD50" s="205">
        <f t="shared" si="7"/>
        <v>0.14916666666666667</v>
      </c>
      <c r="AE50" s="202">
        <f>G50</f>
        <v>0.20916666666666664</v>
      </c>
      <c r="AF50" s="15">
        <f t="shared" si="2"/>
        <v>-0.12166666666666666</v>
      </c>
      <c r="AG50" s="15">
        <f t="shared" si="3"/>
        <v>-7.4999999999999997E-2</v>
      </c>
      <c r="AH50" s="15">
        <f>M50</f>
        <v>-6.9999999999999993E-2</v>
      </c>
      <c r="AI50" s="200">
        <f t="shared" si="8"/>
        <v>-2.7708333333333335E-2</v>
      </c>
      <c r="AK50" s="37">
        <f>AA50-AI50</f>
        <v>-0.92141795852293518</v>
      </c>
      <c r="AM50" s="106">
        <f>($G$14*AA50)-($G$15*AI50)</f>
        <v>-138.73756884786422</v>
      </c>
    </row>
    <row r="51" spans="1:39" x14ac:dyDescent="0.2">
      <c r="A51" s="24">
        <v>42308</v>
      </c>
      <c r="B51" s="4"/>
      <c r="C51" s="25">
        <v>3.8516666666666699E-2</v>
      </c>
      <c r="D51" s="4"/>
      <c r="E51" s="15">
        <v>7.0833333333333331E-2</v>
      </c>
      <c r="F51" s="4">
        <v>0.16250000000000001</v>
      </c>
      <c r="G51" s="4">
        <v>0.22083333333333333</v>
      </c>
      <c r="H51" s="15">
        <v>0.11936853485828847</v>
      </c>
      <c r="I51" s="15">
        <v>3.4858030430408138</v>
      </c>
      <c r="J51" s="4">
        <f t="shared" si="4"/>
        <v>13.044427221365321</v>
      </c>
      <c r="K51" s="15">
        <v>-0.11583333333333333</v>
      </c>
      <c r="L51" s="4">
        <v>-6.6666666666666666E-2</v>
      </c>
      <c r="M51" s="16">
        <v>-6.4166666666666664E-2</v>
      </c>
      <c r="N51" s="4"/>
      <c r="O51" s="22">
        <v>4.7571826640000001</v>
      </c>
      <c r="P51" s="22">
        <v>5.9381017539999998</v>
      </c>
      <c r="Q51" s="22">
        <v>4.5144277439999998</v>
      </c>
      <c r="R51" s="16">
        <f t="shared" si="9"/>
        <v>2.5838364872959536</v>
      </c>
      <c r="S51" s="4"/>
      <c r="T51" s="22">
        <v>4.4738698990000003</v>
      </c>
      <c r="U51" s="4">
        <f t="shared" si="10"/>
        <v>3.7587290412516872</v>
      </c>
      <c r="V51" s="22">
        <v>0.90023837100000004</v>
      </c>
      <c r="W51" s="4">
        <f t="shared" si="11"/>
        <v>0.51504624886852157</v>
      </c>
      <c r="X51" s="4">
        <v>0.01</v>
      </c>
      <c r="Y51" s="4">
        <f t="shared" si="0"/>
        <v>2.8516666666666697E-2</v>
      </c>
      <c r="Z51" s="4">
        <f t="shared" si="1"/>
        <v>0.54356291553518832</v>
      </c>
      <c r="AA51" s="37">
        <f t="shared" si="5"/>
        <v>2.683391280512204</v>
      </c>
      <c r="AB51" s="35"/>
      <c r="AC51" s="205">
        <f t="shared" si="6"/>
        <v>7.0833333333333331E-2</v>
      </c>
      <c r="AD51" s="205">
        <f t="shared" si="7"/>
        <v>0.16250000000000001</v>
      </c>
      <c r="AE51" s="202">
        <f>G51</f>
        <v>0.22083333333333333</v>
      </c>
      <c r="AF51" s="15">
        <f t="shared" si="2"/>
        <v>-0.11583333333333333</v>
      </c>
      <c r="AG51" s="15">
        <f t="shared" si="3"/>
        <v>-6.6666666666666666E-2</v>
      </c>
      <c r="AH51" s="15">
        <f>M51</f>
        <v>-6.4166666666666664E-2</v>
      </c>
      <c r="AI51" s="200">
        <f t="shared" si="8"/>
        <v>-1.9833333333333345E-2</v>
      </c>
      <c r="AK51" s="37">
        <f>AA51-AI51</f>
        <v>2.7032246138455371</v>
      </c>
      <c r="AM51" s="106">
        <f>($G$14*AA51)-($G$15*AI51)</f>
        <v>407.04241892248183</v>
      </c>
    </row>
    <row r="52" spans="1:39" x14ac:dyDescent="0.2">
      <c r="A52" s="24">
        <v>42338</v>
      </c>
      <c r="B52" s="4"/>
      <c r="C52" s="25">
        <v>3.8633333333333297E-2</v>
      </c>
      <c r="D52" s="4"/>
      <c r="E52" s="15">
        <v>6.9166666666666668E-2</v>
      </c>
      <c r="F52" s="4">
        <v>0.15583333333333335</v>
      </c>
      <c r="G52" s="4">
        <v>0.21583333333333332</v>
      </c>
      <c r="H52" s="15">
        <v>2.174291321625621</v>
      </c>
      <c r="I52" s="15">
        <v>-1.8790029362665939</v>
      </c>
      <c r="J52" s="4">
        <f t="shared" si="4"/>
        <v>-9.9262119052277047</v>
      </c>
      <c r="K52" s="15">
        <v>-0.12166666666666666</v>
      </c>
      <c r="L52" s="4">
        <v>-7.5833333333333336E-2</v>
      </c>
      <c r="M52" s="16">
        <v>-6.7500000000000004E-2</v>
      </c>
      <c r="N52" s="4"/>
      <c r="O52" s="22">
        <v>0.46278227799999999</v>
      </c>
      <c r="P52" s="22">
        <v>2.3189177509999999</v>
      </c>
      <c r="Q52" s="22">
        <v>3.48954758</v>
      </c>
      <c r="R52" s="16">
        <f t="shared" si="9"/>
        <v>3.3084053614591911</v>
      </c>
      <c r="S52" s="4"/>
      <c r="T52" s="22">
        <v>-3.7237564519999999</v>
      </c>
      <c r="U52" s="4">
        <f t="shared" si="10"/>
        <v>-2.2272593533496625</v>
      </c>
      <c r="V52" s="22">
        <v>-0.52207426999999995</v>
      </c>
      <c r="W52" s="4">
        <f t="shared" si="11"/>
        <v>-0.31465016622629571</v>
      </c>
      <c r="X52" s="4">
        <v>0.01</v>
      </c>
      <c r="Y52" s="4">
        <f t="shared" si="0"/>
        <v>2.8633333333333295E-2</v>
      </c>
      <c r="Z52" s="4">
        <f t="shared" si="1"/>
        <v>-0.28601683289296242</v>
      </c>
      <c r="AA52" s="37">
        <f t="shared" si="5"/>
        <v>1.084910181769061</v>
      </c>
      <c r="AB52" s="35"/>
      <c r="AC52" s="205">
        <f t="shared" si="6"/>
        <v>6.9166666666666668E-2</v>
      </c>
      <c r="AD52" s="205">
        <f t="shared" si="7"/>
        <v>0.15583333333333335</v>
      </c>
      <c r="AE52" s="202">
        <f>G52</f>
        <v>0.21583333333333332</v>
      </c>
      <c r="AF52" s="15">
        <f t="shared" si="2"/>
        <v>-0.12166666666666666</v>
      </c>
      <c r="AG52" s="15">
        <f t="shared" si="3"/>
        <v>-7.5833333333333336E-2</v>
      </c>
      <c r="AH52" s="15">
        <f>M52</f>
        <v>-6.7500000000000004E-2</v>
      </c>
      <c r="AI52" s="200">
        <f t="shared" si="8"/>
        <v>-2.5777777777777785E-2</v>
      </c>
      <c r="AK52" s="37">
        <f>AA52-AI52</f>
        <v>1.1106879595468386</v>
      </c>
      <c r="AM52" s="106">
        <f>($G$14*AA52)-($G$15*AI52)</f>
        <v>167.24692508620129</v>
      </c>
    </row>
    <row r="53" spans="1:39" x14ac:dyDescent="0.2">
      <c r="A53" s="24">
        <v>42369</v>
      </c>
      <c r="B53" s="4"/>
      <c r="C53" s="25">
        <v>3.8124999999999999E-2</v>
      </c>
      <c r="D53" s="4"/>
      <c r="E53" s="15">
        <v>7.9166666666666663E-2</v>
      </c>
      <c r="F53" s="4">
        <v>0.16749999999999998</v>
      </c>
      <c r="G53" s="4">
        <v>0.22583333333333333</v>
      </c>
      <c r="H53" s="15">
        <v>-1.305032059013933</v>
      </c>
      <c r="I53" s="15">
        <v>-2.2541701966681482</v>
      </c>
      <c r="J53" s="4">
        <f t="shared" si="4"/>
        <v>-2.8169210872704795</v>
      </c>
      <c r="K53" s="15">
        <v>-9.9999999999999992E-2</v>
      </c>
      <c r="L53" s="4">
        <v>-5.5833333333333339E-2</v>
      </c>
      <c r="M53" s="16">
        <v>-5.5E-2</v>
      </c>
      <c r="N53" s="4"/>
      <c r="O53" s="22">
        <v>-1.366576786</v>
      </c>
      <c r="P53" s="22">
        <v>0.15620831099999999</v>
      </c>
      <c r="Q53" s="22">
        <v>-2.0789872809999999</v>
      </c>
      <c r="R53" s="16">
        <f t="shared" si="9"/>
        <v>-1.0015087525081616</v>
      </c>
      <c r="S53" s="4"/>
      <c r="T53" s="22">
        <v>-2.149965592</v>
      </c>
      <c r="U53" s="4">
        <f t="shared" si="10"/>
        <v>-2.1654243442699328</v>
      </c>
      <c r="V53" s="22">
        <v>-1.0116758850000001</v>
      </c>
      <c r="W53" s="4">
        <f t="shared" si="11"/>
        <v>-0.87227074124525927</v>
      </c>
      <c r="X53" s="4">
        <v>0.02</v>
      </c>
      <c r="Y53" s="4">
        <f t="shared" si="0"/>
        <v>1.8124999999999999E-2</v>
      </c>
      <c r="Z53" s="4">
        <f t="shared" si="1"/>
        <v>-0.85414574124525933</v>
      </c>
      <c r="AA53" s="37">
        <f t="shared" si="5"/>
        <v>-0.60205936122706527</v>
      </c>
      <c r="AB53" s="35"/>
      <c r="AC53" s="205">
        <f t="shared" si="6"/>
        <v>7.9166666666666663E-2</v>
      </c>
      <c r="AD53" s="205">
        <f t="shared" si="7"/>
        <v>0.16749999999999998</v>
      </c>
      <c r="AE53" s="202">
        <f>G53</f>
        <v>0.22583333333333333</v>
      </c>
      <c r="AF53" s="15">
        <f t="shared" si="2"/>
        <v>-9.9999999999999992E-2</v>
      </c>
      <c r="AG53" s="15">
        <f t="shared" si="3"/>
        <v>-5.5833333333333339E-2</v>
      </c>
      <c r="AH53" s="15">
        <f>M53</f>
        <v>-5.5E-2</v>
      </c>
      <c r="AI53" s="200">
        <f t="shared" si="8"/>
        <v>-9.6527777777777896E-3</v>
      </c>
      <c r="AK53" s="37">
        <f>AA53-AI53</f>
        <v>-0.59240658344928743</v>
      </c>
      <c r="AM53" s="106">
        <f>($G$14*AA53)-($G$15*AI53)</f>
        <v>-89.19996777632177</v>
      </c>
    </row>
    <row r="54" spans="1:39" x14ac:dyDescent="0.2">
      <c r="A54" s="24">
        <v>42400</v>
      </c>
      <c r="B54" s="4"/>
      <c r="C54" s="25">
        <v>3.8824999999999998E-2</v>
      </c>
      <c r="D54" s="4"/>
      <c r="E54" s="15">
        <v>4.6666666666666669E-2</v>
      </c>
      <c r="F54" s="4">
        <v>0.13666666666666666</v>
      </c>
      <c r="G54" s="4">
        <v>0.19916666666666669</v>
      </c>
      <c r="H54" s="15">
        <v>0.74773687375149223</v>
      </c>
      <c r="I54" s="15">
        <v>-1.6993920773898274</v>
      </c>
      <c r="J54" s="4">
        <f t="shared" si="4"/>
        <v>-0.8672248984723463</v>
      </c>
      <c r="K54" s="15">
        <v>-0.13083333333333333</v>
      </c>
      <c r="L54" s="4">
        <v>-8.0833333333333326E-2</v>
      </c>
      <c r="M54" s="16">
        <v>-7.4999999999999997E-2</v>
      </c>
      <c r="N54" s="4"/>
      <c r="O54" s="22">
        <v>-2.478364155</v>
      </c>
      <c r="P54" s="22">
        <v>-2.7710793890000001</v>
      </c>
      <c r="Q54" s="22">
        <v>-3.9692001530000001</v>
      </c>
      <c r="R54" s="16">
        <f t="shared" si="9"/>
        <v>-3.3756618729016328</v>
      </c>
      <c r="S54" s="4"/>
      <c r="T54" s="22">
        <v>-6.0962058819999996</v>
      </c>
      <c r="U54" s="4">
        <f t="shared" si="10"/>
        <v>-5.310049574453986</v>
      </c>
      <c r="V54" s="22">
        <v>-1.441180747</v>
      </c>
      <c r="W54" s="4">
        <f t="shared" si="11"/>
        <v>-1.3273987458490519</v>
      </c>
      <c r="X54" s="4">
        <v>2.8333333333333335E-2</v>
      </c>
      <c r="Y54" s="4">
        <f t="shared" si="0"/>
        <v>1.0491666666666663E-2</v>
      </c>
      <c r="Z54" s="4">
        <f t="shared" si="1"/>
        <v>-1.3169070791823854</v>
      </c>
      <c r="AA54" s="37">
        <f t="shared" si="5"/>
        <v>-1.3845334693391671</v>
      </c>
      <c r="AB54" s="35"/>
      <c r="AC54" s="205">
        <f t="shared" si="6"/>
        <v>4.6666666666666669E-2</v>
      </c>
      <c r="AD54" s="205">
        <f t="shared" si="7"/>
        <v>0.13666666666666666</v>
      </c>
      <c r="AE54" s="202">
        <f>G54</f>
        <v>0.19916666666666669</v>
      </c>
      <c r="AF54" s="15">
        <f t="shared" si="2"/>
        <v>-0.13083333333333333</v>
      </c>
      <c r="AG54" s="15">
        <f t="shared" si="3"/>
        <v>-8.0833333333333326E-2</v>
      </c>
      <c r="AH54" s="15">
        <f>M54</f>
        <v>-7.4999999999999997E-2</v>
      </c>
      <c r="AI54" s="200">
        <f t="shared" si="8"/>
        <v>-3.5791666666666666E-2</v>
      </c>
      <c r="AK54" s="37">
        <f>AA54-AI54</f>
        <v>-1.3487418026725004</v>
      </c>
      <c r="AM54" s="106">
        <f>($G$14*AA54)-($G$15*AI54)</f>
        <v>-203.08045489557162</v>
      </c>
    </row>
    <row r="55" spans="1:39" x14ac:dyDescent="0.2">
      <c r="A55" s="24">
        <v>42429</v>
      </c>
      <c r="B55" s="4"/>
      <c r="C55" s="25">
        <v>3.8808333333333299E-2</v>
      </c>
      <c r="D55" s="4"/>
      <c r="E55" s="15">
        <v>3.1666666666666669E-2</v>
      </c>
      <c r="F55" s="4">
        <v>0.11749999999999999</v>
      </c>
      <c r="G55" s="4">
        <v>0.1925</v>
      </c>
      <c r="H55" s="15">
        <v>-0.74469809119246388</v>
      </c>
      <c r="I55" s="15">
        <v>0.79501458547820381</v>
      </c>
      <c r="J55" s="4">
        <f t="shared" si="4"/>
        <v>4.5366245797802502</v>
      </c>
      <c r="K55" s="15">
        <v>-0.12083333333333333</v>
      </c>
      <c r="L55" s="4">
        <v>-8.4166666666666667E-2</v>
      </c>
      <c r="M55" s="16">
        <v>-7.3333333333333334E-2</v>
      </c>
      <c r="N55" s="4"/>
      <c r="O55" s="22">
        <v>1.348641701</v>
      </c>
      <c r="P55" s="22">
        <v>2.6791738289999998</v>
      </c>
      <c r="Q55" s="22">
        <v>2.324551628</v>
      </c>
      <c r="R55" s="16">
        <f t="shared" si="9"/>
        <v>1.1845089278196734</v>
      </c>
      <c r="S55" s="4"/>
      <c r="T55" s="22">
        <v>-6.5293853320000004</v>
      </c>
      <c r="U55" s="4">
        <f t="shared" si="10"/>
        <v>-6.285518180490798</v>
      </c>
      <c r="V55" s="22">
        <v>0.382906529</v>
      </c>
      <c r="W55" s="4">
        <f t="shared" si="11"/>
        <v>4.0845474030189621E-2</v>
      </c>
      <c r="X55" s="4">
        <v>3.1666666666666669E-2</v>
      </c>
      <c r="Y55" s="4">
        <f t="shared" si="0"/>
        <v>7.1416666666666295E-3</v>
      </c>
      <c r="Z55" s="4">
        <f t="shared" si="1"/>
        <v>4.7987140696856251E-2</v>
      </c>
      <c r="AA55" s="37">
        <f t="shared" si="5"/>
        <v>0.51269214936388086</v>
      </c>
      <c r="AB55" s="35"/>
      <c r="AC55" s="205">
        <f t="shared" si="6"/>
        <v>3.1666666666666669E-2</v>
      </c>
      <c r="AD55" s="205">
        <f t="shared" si="7"/>
        <v>0.11749999999999999</v>
      </c>
      <c r="AE55" s="202">
        <f>G55</f>
        <v>0.1925</v>
      </c>
      <c r="AF55" s="15">
        <f t="shared" ref="AF55:AF86" si="12">K55</f>
        <v>-0.12083333333333333</v>
      </c>
      <c r="AG55" s="15">
        <f t="shared" ref="AG55:AG86" si="13">L55</f>
        <v>-8.4166666666666667E-2</v>
      </c>
      <c r="AH55" s="15">
        <f>M55</f>
        <v>-7.3333333333333334E-2</v>
      </c>
      <c r="AI55" s="200">
        <f t="shared" si="8"/>
        <v>-3.7847222222222227E-2</v>
      </c>
      <c r="AK55" s="37">
        <f>AA55-AI55</f>
        <v>0.55053937158610311</v>
      </c>
      <c r="AM55" s="106">
        <f>($G$14*AA55)-($G$15*AI55)</f>
        <v>82.904663875591979</v>
      </c>
    </row>
    <row r="56" spans="1:39" x14ac:dyDescent="0.2">
      <c r="A56" s="24">
        <v>42460</v>
      </c>
      <c r="B56" s="4"/>
      <c r="C56" s="25">
        <v>3.8716666666666698E-2</v>
      </c>
      <c r="D56" s="4"/>
      <c r="E56" s="15">
        <v>0.04</v>
      </c>
      <c r="F56" s="4">
        <v>0.125</v>
      </c>
      <c r="G56" s="4">
        <v>0.19333333333333333</v>
      </c>
      <c r="H56" s="15">
        <v>3.6665012685518694</v>
      </c>
      <c r="I56" s="15">
        <v>3.6887940172112277</v>
      </c>
      <c r="J56" s="4">
        <f t="shared" ref="J56:J87" si="14">(I56-$D$14*I55)/(1-$D$14)</f>
        <v>8.0294631648107639</v>
      </c>
      <c r="K56" s="15">
        <v>-0.15083333333333335</v>
      </c>
      <c r="L56" s="4">
        <v>-9.2500000000000013E-2</v>
      </c>
      <c r="M56" s="16">
        <v>-0.08</v>
      </c>
      <c r="N56" s="4"/>
      <c r="O56" s="22">
        <v>1.7290451250000001</v>
      </c>
      <c r="P56" s="22">
        <v>2.8652882370000001</v>
      </c>
      <c r="Q56" s="22">
        <v>6.6344147050000002</v>
      </c>
      <c r="R56" s="16">
        <f t="shared" si="9"/>
        <v>5.5444335495639345</v>
      </c>
      <c r="S56" s="4"/>
      <c r="T56" s="22">
        <v>5.4374948999999999</v>
      </c>
      <c r="U56" s="4">
        <f t="shared" si="10"/>
        <v>3.0928922839018407</v>
      </c>
      <c r="V56" s="22">
        <v>2.3046974100000002</v>
      </c>
      <c r="W56" s="4">
        <f t="shared" si="11"/>
        <v>1.8519270228060383</v>
      </c>
      <c r="X56" s="4">
        <v>0.03</v>
      </c>
      <c r="Y56" s="4">
        <f t="shared" si="0"/>
        <v>8.7166666666666989E-3</v>
      </c>
      <c r="Z56" s="4">
        <f t="shared" si="1"/>
        <v>1.860643689472705</v>
      </c>
      <c r="AA56" s="37">
        <f t="shared" si="5"/>
        <v>2.1127325139720563</v>
      </c>
      <c r="AB56" s="35"/>
      <c r="AC56" s="205">
        <f t="shared" si="6"/>
        <v>0.04</v>
      </c>
      <c r="AD56" s="205">
        <f t="shared" si="7"/>
        <v>0.125</v>
      </c>
      <c r="AE56" s="202">
        <f>G56</f>
        <v>0.19333333333333333</v>
      </c>
      <c r="AF56" s="15">
        <f t="shared" si="12"/>
        <v>-0.15083333333333335</v>
      </c>
      <c r="AG56" s="15">
        <f t="shared" si="13"/>
        <v>-9.2500000000000013E-2</v>
      </c>
      <c r="AH56" s="15">
        <f>M56</f>
        <v>-0.08</v>
      </c>
      <c r="AI56" s="200">
        <f t="shared" si="8"/>
        <v>-4.6638888888888896E-2</v>
      </c>
      <c r="AK56" s="37">
        <f>AA56-AI56</f>
        <v>2.1593714028609452</v>
      </c>
      <c r="AM56" s="106">
        <f>($G$14*AA56)-($G$15*AI56)</f>
        <v>325.15658742809268</v>
      </c>
    </row>
    <row r="57" spans="1:39" x14ac:dyDescent="0.2">
      <c r="A57" s="24">
        <v>42490</v>
      </c>
      <c r="B57" s="4"/>
      <c r="C57" s="25">
        <v>3.88583333333333E-2</v>
      </c>
      <c r="D57" s="4"/>
      <c r="E57" s="15">
        <v>5.0833333333333335E-2</v>
      </c>
      <c r="F57" s="4">
        <v>0.14083333333333334</v>
      </c>
      <c r="G57" s="4">
        <v>0.20416666666666669</v>
      </c>
      <c r="H57" s="15">
        <v>0.99565047548179075</v>
      </c>
      <c r="I57" s="15">
        <v>2.3541003738795974</v>
      </c>
      <c r="J57" s="4">
        <f t="shared" si="14"/>
        <v>0.35205990888215188</v>
      </c>
      <c r="K57" s="15">
        <v>-0.14583333333333334</v>
      </c>
      <c r="L57" s="4">
        <v>-7.9166666666666663E-2</v>
      </c>
      <c r="M57" s="16">
        <v>-6.8333333333333329E-2</v>
      </c>
      <c r="N57" s="4"/>
      <c r="O57" s="22">
        <v>1.620152507</v>
      </c>
      <c r="P57" s="22">
        <v>-0.71541925500000003</v>
      </c>
      <c r="Q57" s="22">
        <v>-0.680521406</v>
      </c>
      <c r="R57" s="16">
        <f t="shared" si="9"/>
        <v>0.564469585112787</v>
      </c>
      <c r="S57" s="4"/>
      <c r="T57" s="22">
        <v>2.0021954960000001</v>
      </c>
      <c r="U57" s="4">
        <f t="shared" si="10"/>
        <v>2.2203348535803684</v>
      </c>
      <c r="V57" s="22">
        <v>0.85310655899999999</v>
      </c>
      <c r="W57" s="4">
        <f t="shared" si="11"/>
        <v>1.0528706517612076</v>
      </c>
      <c r="X57" s="4">
        <v>3.0833333333333334E-2</v>
      </c>
      <c r="Y57" s="4">
        <f t="shared" si="0"/>
        <v>8.0249999999999662E-3</v>
      </c>
      <c r="Z57" s="4">
        <f t="shared" si="1"/>
        <v>1.0608956517612076</v>
      </c>
      <c r="AA57" s="37">
        <f t="shared" si="5"/>
        <v>0.44664249623499269</v>
      </c>
      <c r="AB57" s="35"/>
      <c r="AC57" s="205">
        <f t="shared" si="6"/>
        <v>5.0833333333333335E-2</v>
      </c>
      <c r="AD57" s="205">
        <f t="shared" si="7"/>
        <v>0.14083333333333334</v>
      </c>
      <c r="AE57" s="202">
        <f>G57</f>
        <v>0.20416666666666669</v>
      </c>
      <c r="AF57" s="15">
        <f t="shared" si="12"/>
        <v>-0.14583333333333334</v>
      </c>
      <c r="AG57" s="15">
        <f t="shared" si="13"/>
        <v>-7.9166666666666663E-2</v>
      </c>
      <c r="AH57" s="15">
        <f>M57</f>
        <v>-6.8333333333333329E-2</v>
      </c>
      <c r="AI57" s="200">
        <f t="shared" si="8"/>
        <v>-3.5513888888888893E-2</v>
      </c>
      <c r="AK57" s="37">
        <f>AA57-AI57</f>
        <v>0.48215638512388159</v>
      </c>
      <c r="AM57" s="106">
        <f>($G$14*AA57)-($G$15*AI57)</f>
        <v>72.607443354966733</v>
      </c>
    </row>
    <row r="58" spans="1:39" x14ac:dyDescent="0.2">
      <c r="A58" s="24">
        <v>42521</v>
      </c>
      <c r="B58" s="4"/>
      <c r="C58" s="25">
        <v>3.86083333333333E-2</v>
      </c>
      <c r="D58" s="4"/>
      <c r="E58" s="15">
        <v>4.6666666666666669E-2</v>
      </c>
      <c r="F58" s="4">
        <v>0.12916666666666668</v>
      </c>
      <c r="G58" s="4">
        <v>0.18999999999999997</v>
      </c>
      <c r="H58" s="15">
        <v>0.93152499791470111</v>
      </c>
      <c r="I58" s="15">
        <v>0.32928548796022916</v>
      </c>
      <c r="J58" s="4">
        <f t="shared" si="14"/>
        <v>-2.7079368409188231</v>
      </c>
      <c r="K58" s="15">
        <v>-0.14166666666666666</v>
      </c>
      <c r="L58" s="4">
        <v>-8.4166666666666667E-2</v>
      </c>
      <c r="M58" s="16">
        <v>-7.4999999999999997E-2</v>
      </c>
      <c r="N58" s="4"/>
      <c r="O58" s="22">
        <v>0.18509837800000001</v>
      </c>
      <c r="P58" s="22">
        <v>1.7475343379999999</v>
      </c>
      <c r="Q58" s="22">
        <v>2.018979904</v>
      </c>
      <c r="R58" s="16">
        <f t="shared" si="9"/>
        <v>1.7280778402225574</v>
      </c>
      <c r="S58" s="4"/>
      <c r="T58" s="22">
        <v>1.8099491219999999</v>
      </c>
      <c r="U58" s="4">
        <f t="shared" si="10"/>
        <v>1.8920262683160738</v>
      </c>
      <c r="V58" s="22">
        <v>-0.35943973600000001</v>
      </c>
      <c r="W58" s="4">
        <f t="shared" si="11"/>
        <v>-7.6977658447758501E-2</v>
      </c>
      <c r="X58" s="4">
        <v>3.0833333333333334E-2</v>
      </c>
      <c r="Y58" s="4">
        <f t="shared" si="0"/>
        <v>7.774999999999966E-3</v>
      </c>
      <c r="Z58" s="4">
        <f t="shared" si="1"/>
        <v>-6.9202658447758539E-2</v>
      </c>
      <c r="AA58" s="37">
        <f t="shared" si="5"/>
        <v>0.80909571022157933</v>
      </c>
      <c r="AB58" s="35"/>
      <c r="AC58" s="205">
        <f t="shared" si="6"/>
        <v>4.6666666666666669E-2</v>
      </c>
      <c r="AD58" s="205">
        <f t="shared" si="7"/>
        <v>0.12916666666666668</v>
      </c>
      <c r="AE58" s="202">
        <f>G58</f>
        <v>0.18999999999999997</v>
      </c>
      <c r="AF58" s="15">
        <f t="shared" si="12"/>
        <v>-0.14166666666666666</v>
      </c>
      <c r="AG58" s="15">
        <f t="shared" si="13"/>
        <v>-8.4166666666666667E-2</v>
      </c>
      <c r="AH58" s="15">
        <f>M58</f>
        <v>-7.4999999999999997E-2</v>
      </c>
      <c r="AI58" s="200">
        <f t="shared" si="8"/>
        <v>-4.0472222222222229E-2</v>
      </c>
      <c r="AK58" s="37">
        <f>AA58-AI58</f>
        <v>0.84956793244380158</v>
      </c>
      <c r="AM58" s="106">
        <f>($G$14*AA58)-($G$15*AI58)</f>
        <v>127.93145355076004</v>
      </c>
    </row>
    <row r="59" spans="1:39" x14ac:dyDescent="0.2">
      <c r="A59" s="24">
        <v>42551</v>
      </c>
      <c r="B59" s="4"/>
      <c r="C59" s="25">
        <v>3.83166666666667E-2</v>
      </c>
      <c r="D59" s="4"/>
      <c r="E59" s="15">
        <v>1.2499999999999999E-2</v>
      </c>
      <c r="F59" s="4">
        <v>8.5833333333333331E-2</v>
      </c>
      <c r="G59" s="4">
        <v>0.14916666666666667</v>
      </c>
      <c r="H59" s="15">
        <v>3.6057950305249831</v>
      </c>
      <c r="I59" s="15">
        <v>0.76956631529654373</v>
      </c>
      <c r="J59" s="4">
        <f t="shared" si="14"/>
        <v>1.4299875563010156</v>
      </c>
      <c r="K59" s="15">
        <v>-0.19333333333333333</v>
      </c>
      <c r="L59" s="4">
        <v>-0.13</v>
      </c>
      <c r="M59" s="16">
        <v>-0.11333333333333334</v>
      </c>
      <c r="N59" s="4"/>
      <c r="O59" s="22">
        <v>4.8222060000000004</v>
      </c>
      <c r="P59" s="22">
        <v>7.7777091650000001</v>
      </c>
      <c r="Q59" s="22">
        <v>5.6055182480000001</v>
      </c>
      <c r="R59" s="16">
        <f t="shared" si="9"/>
        <v>4.8300301664445113</v>
      </c>
      <c r="S59" s="4"/>
      <c r="T59" s="22">
        <v>-8.8182130280000006</v>
      </c>
      <c r="U59" s="4">
        <f t="shared" si="10"/>
        <v>-6.6761651687367864</v>
      </c>
      <c r="V59" s="22">
        <v>0.69303050700000002</v>
      </c>
      <c r="W59" s="4">
        <f t="shared" si="11"/>
        <v>0.5390288739104484</v>
      </c>
      <c r="X59" s="4">
        <v>3.1666666666666669E-2</v>
      </c>
      <c r="Y59" s="4">
        <f t="shared" si="0"/>
        <v>6.6500000000000309E-3</v>
      </c>
      <c r="Z59" s="4">
        <f t="shared" si="1"/>
        <v>0.54567887391044845</v>
      </c>
      <c r="AA59" s="37">
        <f t="shared" si="5"/>
        <v>3.3950819422879635</v>
      </c>
      <c r="AB59" s="35"/>
      <c r="AC59" s="205">
        <f t="shared" si="6"/>
        <v>1.2499999999999999E-2</v>
      </c>
      <c r="AD59" s="205">
        <f t="shared" si="7"/>
        <v>8.5833333333333331E-2</v>
      </c>
      <c r="AE59" s="202">
        <f>G59</f>
        <v>0.14916666666666667</v>
      </c>
      <c r="AF59" s="15">
        <f t="shared" si="12"/>
        <v>-0.19333333333333333</v>
      </c>
      <c r="AG59" s="15">
        <f t="shared" si="13"/>
        <v>-0.13</v>
      </c>
      <c r="AH59" s="15">
        <f>M59</f>
        <v>-0.11333333333333334</v>
      </c>
      <c r="AI59" s="200">
        <f t="shared" si="8"/>
        <v>-8.4152777777777785E-2</v>
      </c>
      <c r="AK59" s="37">
        <f>AA59-AI59</f>
        <v>3.4792347200657412</v>
      </c>
      <c r="AM59" s="106">
        <f>($G$14*AA59)-($G$15*AI59)</f>
        <v>523.90233360028049</v>
      </c>
    </row>
    <row r="60" spans="1:39" x14ac:dyDescent="0.2">
      <c r="A60" s="24">
        <v>42582</v>
      </c>
      <c r="B60" s="4"/>
      <c r="C60" s="25">
        <v>3.8141666666666699E-2</v>
      </c>
      <c r="D60" s="4"/>
      <c r="E60" s="15">
        <v>7.4999999999999997E-3</v>
      </c>
      <c r="F60" s="4">
        <v>6.6666666666666666E-2</v>
      </c>
      <c r="G60" s="4">
        <v>0.13083333333333333</v>
      </c>
      <c r="H60" s="15">
        <v>5.0756542183722937</v>
      </c>
      <c r="I60" s="15">
        <v>2.3978114643991799</v>
      </c>
      <c r="J60" s="4">
        <f t="shared" si="14"/>
        <v>4.840179188053134</v>
      </c>
      <c r="K60" s="15">
        <v>-0.21</v>
      </c>
      <c r="L60" s="4">
        <v>-0.14333333333333334</v>
      </c>
      <c r="M60" s="16">
        <v>-0.1225</v>
      </c>
      <c r="N60" s="4"/>
      <c r="O60" s="22">
        <v>3.488488636</v>
      </c>
      <c r="P60" s="22">
        <v>4.4983609859999998</v>
      </c>
      <c r="Q60" s="22">
        <v>6.7059287970000003</v>
      </c>
      <c r="R60" s="16">
        <f t="shared" si="9"/>
        <v>6.3307490708889027</v>
      </c>
      <c r="S60" s="4"/>
      <c r="T60" s="22">
        <v>5.5714013570000001</v>
      </c>
      <c r="U60" s="4">
        <f t="shared" si="10"/>
        <v>3.1218880518526424</v>
      </c>
      <c r="V60" s="22">
        <v>0.80885202499999997</v>
      </c>
      <c r="W60" s="4">
        <f t="shared" si="11"/>
        <v>0.75488739478208977</v>
      </c>
      <c r="X60" s="4">
        <v>3.2500000000000001E-2</v>
      </c>
      <c r="Y60" s="4">
        <f t="shared" si="0"/>
        <v>5.6416666666666976E-3</v>
      </c>
      <c r="Z60" s="4">
        <f t="shared" si="1"/>
        <v>0.76052906144875643</v>
      </c>
      <c r="AA60" s="37">
        <f t="shared" si="5"/>
        <v>3.1095108983661892</v>
      </c>
      <c r="AB60" s="35"/>
      <c r="AC60" s="205">
        <f t="shared" si="6"/>
        <v>7.4999999999999997E-3</v>
      </c>
      <c r="AD60" s="205">
        <f t="shared" si="7"/>
        <v>6.6666666666666666E-2</v>
      </c>
      <c r="AE60" s="202">
        <f>G60</f>
        <v>0.13083333333333333</v>
      </c>
      <c r="AF60" s="15">
        <f t="shared" si="12"/>
        <v>-0.21</v>
      </c>
      <c r="AG60" s="15">
        <f t="shared" si="13"/>
        <v>-0.14333333333333334</v>
      </c>
      <c r="AH60" s="15">
        <f>M60</f>
        <v>-0.1225</v>
      </c>
      <c r="AI60" s="200">
        <f t="shared" si="8"/>
        <v>-9.7555555555555576E-2</v>
      </c>
      <c r="AK60" s="37">
        <f>AA60-AI60</f>
        <v>3.2070664539217448</v>
      </c>
      <c r="AM60" s="106">
        <f>($G$14*AA60)-($G$15*AI60)</f>
        <v>482.92302974034152</v>
      </c>
    </row>
    <row r="61" spans="1:39" x14ac:dyDescent="0.2">
      <c r="A61" s="24">
        <v>42613</v>
      </c>
      <c r="B61" s="4"/>
      <c r="C61" s="25">
        <v>2.0650000000000002E-2</v>
      </c>
      <c r="D61" s="4"/>
      <c r="E61" s="15">
        <v>8.3333333333333332E-3</v>
      </c>
      <c r="F61" s="4">
        <v>5.5E-2</v>
      </c>
      <c r="G61" s="4">
        <v>0.10666666666666667</v>
      </c>
      <c r="H61" s="15">
        <v>3.4464466179817692</v>
      </c>
      <c r="I61" s="15">
        <v>2.0430672328676236</v>
      </c>
      <c r="J61" s="4">
        <f t="shared" si="14"/>
        <v>1.5109508855702891</v>
      </c>
      <c r="K61" s="15">
        <v>-0.22583333333333333</v>
      </c>
      <c r="L61" s="4">
        <v>-0.17833333333333334</v>
      </c>
      <c r="M61" s="16">
        <v>-0.155</v>
      </c>
      <c r="N61" s="4"/>
      <c r="O61" s="22">
        <v>1.904669132</v>
      </c>
      <c r="P61" s="22">
        <v>1.5007538949999999</v>
      </c>
      <c r="Q61" s="22">
        <v>2.837093098</v>
      </c>
      <c r="R61" s="16">
        <f t="shared" si="9"/>
        <v>3.535824292577781</v>
      </c>
      <c r="S61" s="4"/>
      <c r="T61" s="22">
        <v>1.7995663019999999</v>
      </c>
      <c r="U61" s="4">
        <f t="shared" si="10"/>
        <v>2.0640306519705285</v>
      </c>
      <c r="V61" s="22">
        <v>-0.27526262000000001</v>
      </c>
      <c r="W61" s="4">
        <f t="shared" si="11"/>
        <v>-6.9232617043582051E-2</v>
      </c>
      <c r="X61" s="4">
        <v>3.3333333333333333E-2</v>
      </c>
      <c r="Y61" s="4">
        <f t="shared" si="0"/>
        <v>-1.2683333333333331E-2</v>
      </c>
      <c r="Z61" s="4">
        <f t="shared" si="1"/>
        <v>-8.1915950376915375E-2</v>
      </c>
      <c r="AA61" s="37">
        <f t="shared" si="5"/>
        <v>1.5752476292840976</v>
      </c>
      <c r="AB61" s="35"/>
      <c r="AC61" s="205">
        <f t="shared" si="6"/>
        <v>8.3333333333333332E-3</v>
      </c>
      <c r="AD61" s="205">
        <f t="shared" si="7"/>
        <v>5.5E-2</v>
      </c>
      <c r="AE61" s="202">
        <f>G61</f>
        <v>0.10666666666666667</v>
      </c>
      <c r="AF61" s="15">
        <f t="shared" si="12"/>
        <v>-0.22583333333333333</v>
      </c>
      <c r="AG61" s="15">
        <f t="shared" si="13"/>
        <v>-0.17833333333333334</v>
      </c>
      <c r="AH61" s="15">
        <f>M61</f>
        <v>-0.155</v>
      </c>
      <c r="AI61" s="200">
        <f t="shared" si="8"/>
        <v>-0.12247222222222223</v>
      </c>
      <c r="AK61" s="37">
        <f>AA61-AI61</f>
        <v>1.6977198515063199</v>
      </c>
      <c r="AM61" s="106">
        <f>($G$14*AA61)-($G$15*AI61)</f>
        <v>255.65743825412585</v>
      </c>
    </row>
    <row r="62" spans="1:39" x14ac:dyDescent="0.2">
      <c r="A62" s="24">
        <v>42643</v>
      </c>
      <c r="B62" s="4"/>
      <c r="C62" s="25">
        <v>1.7749999999999998E-2</v>
      </c>
      <c r="D62" s="4"/>
      <c r="E62" s="15">
        <v>8.3333333333333332E-3</v>
      </c>
      <c r="F62" s="4">
        <v>6.6666666666666666E-2</v>
      </c>
      <c r="G62" s="4">
        <v>0.12666666666666668</v>
      </c>
      <c r="H62" s="15">
        <v>-1.8753547763338485</v>
      </c>
      <c r="I62" s="15">
        <v>-5.605119265805758E-3</v>
      </c>
      <c r="J62" s="4">
        <f t="shared" si="14"/>
        <v>-3.0786136474659496</v>
      </c>
      <c r="K62" s="15">
        <v>-0.21916666666666665</v>
      </c>
      <c r="L62" s="4">
        <v>-0.17500000000000002</v>
      </c>
      <c r="M62" s="16">
        <v>-0.155</v>
      </c>
      <c r="N62" s="4"/>
      <c r="O62" s="22">
        <v>2.0352041559999998</v>
      </c>
      <c r="P62" s="22">
        <v>1.580446228</v>
      </c>
      <c r="Q62" s="22">
        <v>2.0523449</v>
      </c>
      <c r="R62" s="16">
        <f t="shared" si="9"/>
        <v>2.3490407785155565</v>
      </c>
      <c r="S62" s="4"/>
      <c r="T62" s="22">
        <v>-1.518574466</v>
      </c>
      <c r="U62" s="4">
        <f t="shared" si="10"/>
        <v>-0.80205344240589427</v>
      </c>
      <c r="V62" s="22">
        <v>-3.3672094E-2</v>
      </c>
      <c r="W62" s="4">
        <f t="shared" si="11"/>
        <v>-4.0784198608716411E-2</v>
      </c>
      <c r="X62" s="4">
        <v>3.3333333333333333E-2</v>
      </c>
      <c r="Y62" s="4">
        <f t="shared" si="0"/>
        <v>-1.5583333333333334E-2</v>
      </c>
      <c r="Z62" s="4">
        <f t="shared" ref="Z62:Z118" si="15">W62+Y62</f>
        <v>-5.6367531942049742E-2</v>
      </c>
      <c r="AA62" s="37">
        <f t="shared" si="5"/>
        <v>0.3941440510082177</v>
      </c>
      <c r="AB62" s="35"/>
      <c r="AC62" s="205">
        <f t="shared" si="6"/>
        <v>8.3333333333333332E-3</v>
      </c>
      <c r="AD62" s="205">
        <f t="shared" si="7"/>
        <v>6.6666666666666666E-2</v>
      </c>
      <c r="AE62" s="202">
        <f>G62</f>
        <v>0.12666666666666668</v>
      </c>
      <c r="AF62" s="15">
        <f t="shared" si="12"/>
        <v>-0.21916666666666665</v>
      </c>
      <c r="AG62" s="15">
        <f t="shared" si="13"/>
        <v>-0.17500000000000002</v>
      </c>
      <c r="AH62" s="15">
        <f>M62</f>
        <v>-0.155</v>
      </c>
      <c r="AI62" s="200">
        <f t="shared" si="8"/>
        <v>-0.11730555555555558</v>
      </c>
      <c r="AK62" s="37">
        <f>AA62-AI62</f>
        <v>0.51144960656377325</v>
      </c>
      <c r="AM62" s="106">
        <f>($G$14*AA62)-($G$15*AI62)</f>
        <v>77.033537099452914</v>
      </c>
    </row>
    <row r="63" spans="1:39" x14ac:dyDescent="0.2">
      <c r="A63" s="24">
        <v>42674</v>
      </c>
      <c r="B63" s="4"/>
      <c r="C63" s="25">
        <v>1.7666666666666699E-2</v>
      </c>
      <c r="D63" s="4"/>
      <c r="E63" s="15">
        <v>2.9166666666666664E-2</v>
      </c>
      <c r="F63" s="4">
        <v>0.1075</v>
      </c>
      <c r="G63" s="4">
        <v>0.16</v>
      </c>
      <c r="H63" s="15">
        <v>-4.3978395292544219</v>
      </c>
      <c r="I63" s="15">
        <v>0.27825478371026335</v>
      </c>
      <c r="J63" s="4">
        <f t="shared" si="14"/>
        <v>0.70404463817436702</v>
      </c>
      <c r="K63" s="15">
        <v>-0.23916666666666667</v>
      </c>
      <c r="L63" s="4">
        <v>-0.17</v>
      </c>
      <c r="M63" s="16">
        <v>-0.14749999999999999</v>
      </c>
      <c r="N63" s="4"/>
      <c r="O63" s="22">
        <v>0.86663388200000002</v>
      </c>
      <c r="P63" s="22">
        <v>4.507962719</v>
      </c>
      <c r="Q63" s="22">
        <v>5.1074966789999996</v>
      </c>
      <c r="R63" s="16">
        <f t="shared" si="9"/>
        <v>4.5558054989031112</v>
      </c>
      <c r="S63" s="4"/>
      <c r="T63" s="22">
        <v>-5.6080605920000002</v>
      </c>
      <c r="U63" s="4">
        <f t="shared" si="10"/>
        <v>-4.6468591620811788</v>
      </c>
      <c r="V63" s="22">
        <v>-1.363146599</v>
      </c>
      <c r="W63" s="4">
        <f t="shared" si="11"/>
        <v>-1.0986741189217433</v>
      </c>
      <c r="X63" s="4">
        <v>3.3333333333333333E-2</v>
      </c>
      <c r="Y63" s="4">
        <f t="shared" ref="Y63:Y119" si="16">C63-X63</f>
        <v>-1.5666666666666634E-2</v>
      </c>
      <c r="Z63" s="4">
        <f t="shared" si="15"/>
        <v>-1.11434078558841</v>
      </c>
      <c r="AA63" s="37">
        <f t="shared" si="5"/>
        <v>0.29248739326307094</v>
      </c>
      <c r="AB63" s="35"/>
      <c r="AC63" s="205">
        <f t="shared" si="6"/>
        <v>2.9166666666666664E-2</v>
      </c>
      <c r="AD63" s="205">
        <f t="shared" si="7"/>
        <v>0.1075</v>
      </c>
      <c r="AE63" s="202">
        <f>G63</f>
        <v>0.16</v>
      </c>
      <c r="AF63" s="15">
        <f t="shared" si="12"/>
        <v>-0.23916666666666667</v>
      </c>
      <c r="AG63" s="15">
        <f t="shared" si="13"/>
        <v>-0.17</v>
      </c>
      <c r="AH63" s="15">
        <f>M63</f>
        <v>-0.14749999999999999</v>
      </c>
      <c r="AI63" s="200">
        <f t="shared" si="8"/>
        <v>-0.10968055555555556</v>
      </c>
      <c r="AK63" s="37">
        <f>AA63-AI63</f>
        <v>0.4021679488186265</v>
      </c>
      <c r="AM63" s="106">
        <f>($G$14*AA63)-($G$15*AI63)</f>
        <v>60.577001725358585</v>
      </c>
    </row>
    <row r="64" spans="1:39" x14ac:dyDescent="0.2">
      <c r="A64" s="24">
        <v>42704</v>
      </c>
      <c r="B64" s="4"/>
      <c r="C64" s="25">
        <v>1.7566666666666699E-2</v>
      </c>
      <c r="D64" s="4"/>
      <c r="E64" s="15">
        <v>2.4166666666666666E-2</v>
      </c>
      <c r="F64" s="4">
        <v>0.12333333333333334</v>
      </c>
      <c r="G64" s="4">
        <v>0.17500000000000002</v>
      </c>
      <c r="H64" s="15">
        <v>-1.5995747888767564</v>
      </c>
      <c r="I64" s="15">
        <v>-0.71222048889074685</v>
      </c>
      <c r="J64" s="4">
        <f t="shared" si="14"/>
        <v>-2.1979333977922622</v>
      </c>
      <c r="K64" s="15">
        <v>-0.23083333333333333</v>
      </c>
      <c r="L64" s="4">
        <v>-0.14749999999999999</v>
      </c>
      <c r="M64" s="16">
        <v>-0.125</v>
      </c>
      <c r="N64" s="4"/>
      <c r="O64" s="22">
        <v>-2.217975128</v>
      </c>
      <c r="P64" s="22">
        <v>-0.55444950900000001</v>
      </c>
      <c r="Q64" s="22">
        <v>0.865530621</v>
      </c>
      <c r="R64" s="16">
        <f t="shared" si="9"/>
        <v>1.6035855965806225</v>
      </c>
      <c r="S64" s="4"/>
      <c r="T64" s="22">
        <v>-0.66153177699999999</v>
      </c>
      <c r="U64" s="4">
        <f t="shared" si="10"/>
        <v>-1.4585972540162357</v>
      </c>
      <c r="V64" s="22">
        <v>-1.3413771290000001</v>
      </c>
      <c r="W64" s="4">
        <f t="shared" si="11"/>
        <v>-1.2928365269843487</v>
      </c>
      <c r="X64" s="4">
        <v>3.4166666666666665E-2</v>
      </c>
      <c r="Y64" s="4">
        <f t="shared" si="16"/>
        <v>-1.6599999999999965E-2</v>
      </c>
      <c r="Z64" s="4">
        <f t="shared" si="15"/>
        <v>-1.3094365269843486</v>
      </c>
      <c r="AA64" s="37">
        <f t="shared" si="5"/>
        <v>-0.93339874585644023</v>
      </c>
      <c r="AB64" s="35"/>
      <c r="AC64" s="205">
        <f t="shared" si="6"/>
        <v>2.4166666666666666E-2</v>
      </c>
      <c r="AD64" s="205">
        <f t="shared" si="7"/>
        <v>0.12333333333333334</v>
      </c>
      <c r="AE64" s="202">
        <f>G64</f>
        <v>0.17500000000000002</v>
      </c>
      <c r="AF64" s="15">
        <f t="shared" si="12"/>
        <v>-0.23083333333333333</v>
      </c>
      <c r="AG64" s="15">
        <f t="shared" si="13"/>
        <v>-0.14749999999999999</v>
      </c>
      <c r="AH64" s="15">
        <f>M64</f>
        <v>-0.125</v>
      </c>
      <c r="AI64" s="200">
        <f t="shared" si="8"/>
        <v>-9.3138888888888896E-2</v>
      </c>
      <c r="AK64" s="37">
        <f>AA64-AI64</f>
        <v>-0.84025985696755134</v>
      </c>
      <c r="AM64" s="106">
        <f>($G$14*AA64)-($G$15*AI64)</f>
        <v>-126.50496032437917</v>
      </c>
    </row>
    <row r="65" spans="1:39" x14ac:dyDescent="0.2">
      <c r="A65" s="24">
        <v>42735</v>
      </c>
      <c r="B65" s="4"/>
      <c r="C65" s="25">
        <v>1.7708333333333302E-2</v>
      </c>
      <c r="D65" s="4"/>
      <c r="E65" s="15">
        <v>1.5833333333333335E-2</v>
      </c>
      <c r="F65" s="4">
        <v>0.10833333333333334</v>
      </c>
      <c r="G65" s="4">
        <v>0.16083333333333333</v>
      </c>
      <c r="H65" s="15">
        <v>3.0000165696493442</v>
      </c>
      <c r="I65" s="15">
        <v>2.1099425138117134</v>
      </c>
      <c r="J65" s="4">
        <f t="shared" si="14"/>
        <v>6.3431870178654037</v>
      </c>
      <c r="K65" s="15">
        <v>-0.24666666666666667</v>
      </c>
      <c r="L65" s="4">
        <v>-0.16666666666666666</v>
      </c>
      <c r="M65" s="16">
        <v>-0.13916666666666666</v>
      </c>
      <c r="N65" s="4"/>
      <c r="O65" s="22">
        <v>5.3595490559999996</v>
      </c>
      <c r="P65" s="22">
        <v>3.9182374320000002</v>
      </c>
      <c r="Q65" s="22">
        <v>3.48629459</v>
      </c>
      <c r="R65" s="16">
        <f t="shared" si="9"/>
        <v>3.1097527913161249</v>
      </c>
      <c r="S65" s="4"/>
      <c r="T65" s="22">
        <v>6.2577048419999999</v>
      </c>
      <c r="U65" s="4">
        <f t="shared" si="10"/>
        <v>4.7144444227967535</v>
      </c>
      <c r="V65" s="22">
        <v>0.57760580299999997</v>
      </c>
      <c r="W65" s="4">
        <f t="shared" si="11"/>
        <v>0.20351733700313029</v>
      </c>
      <c r="X65" s="4">
        <v>4.5000000000000005E-2</v>
      </c>
      <c r="Y65" s="4">
        <f t="shared" si="16"/>
        <v>-2.7291666666666704E-2</v>
      </c>
      <c r="Z65" s="4">
        <f t="shared" si="15"/>
        <v>0.17622567033646358</v>
      </c>
      <c r="AA65" s="37">
        <f t="shared" si="5"/>
        <v>2.8609360739223297</v>
      </c>
      <c r="AB65" s="35"/>
      <c r="AC65" s="205">
        <f t="shared" si="6"/>
        <v>1.5833333333333335E-2</v>
      </c>
      <c r="AD65" s="205">
        <f t="shared" si="7"/>
        <v>0.10833333333333334</v>
      </c>
      <c r="AE65" s="202">
        <f>G65</f>
        <v>0.16083333333333333</v>
      </c>
      <c r="AF65" s="15">
        <f t="shared" si="12"/>
        <v>-0.24666666666666667</v>
      </c>
      <c r="AG65" s="15">
        <f t="shared" si="13"/>
        <v>-0.16666666666666666</v>
      </c>
      <c r="AH65" s="15">
        <f>M65</f>
        <v>-0.13916666666666666</v>
      </c>
      <c r="AI65" s="200">
        <f t="shared" si="8"/>
        <v>-0.10883333333333334</v>
      </c>
      <c r="AK65" s="37">
        <f>AA65-AI65</f>
        <v>2.9697694072556633</v>
      </c>
      <c r="AM65" s="106">
        <f>($G$14*AA65)-($G$15*AI65)</f>
        <v>447.19407197249842</v>
      </c>
    </row>
    <row r="66" spans="1:39" x14ac:dyDescent="0.2">
      <c r="A66" s="24">
        <v>42766</v>
      </c>
      <c r="B66" s="4"/>
      <c r="C66" s="25">
        <v>1.7791666666666699E-2</v>
      </c>
      <c r="D66" s="4"/>
      <c r="E66" s="15">
        <v>2.8333333333333335E-2</v>
      </c>
      <c r="F66" s="4">
        <v>0.12416666666666666</v>
      </c>
      <c r="G66" s="4">
        <v>0.17583333333333331</v>
      </c>
      <c r="H66" s="15">
        <v>-1.4568783432973742</v>
      </c>
      <c r="I66" s="15">
        <v>0.64683140920647197</v>
      </c>
      <c r="J66" s="4">
        <f t="shared" si="14"/>
        <v>-1.5478352477013901</v>
      </c>
      <c r="K66" s="15">
        <v>-0.2558333333333333</v>
      </c>
      <c r="L66" s="4">
        <v>-0.16416666666666666</v>
      </c>
      <c r="M66" s="16">
        <v>-0.13999999999999999</v>
      </c>
      <c r="N66" s="4"/>
      <c r="O66" s="22">
        <v>0.117685424</v>
      </c>
      <c r="P66" s="22">
        <v>-0.37063758699999999</v>
      </c>
      <c r="Q66" s="22">
        <v>1.4116472520000001</v>
      </c>
      <c r="R66" s="16">
        <f t="shared" si="9"/>
        <v>1.751268359863225</v>
      </c>
      <c r="S66" s="4"/>
      <c r="T66" s="22">
        <v>-4.0769499189999996</v>
      </c>
      <c r="U66" s="4">
        <f t="shared" si="10"/>
        <v>-2.3186710506406492</v>
      </c>
      <c r="V66" s="22">
        <v>0.20610050399999999</v>
      </c>
      <c r="W66" s="4">
        <f t="shared" si="11"/>
        <v>0.20558387060062605</v>
      </c>
      <c r="X66" s="4">
        <v>5.4166666666666669E-2</v>
      </c>
      <c r="Y66" s="4">
        <f t="shared" si="16"/>
        <v>-3.637499999999997E-2</v>
      </c>
      <c r="Z66" s="4">
        <f t="shared" si="15"/>
        <v>0.16920887060062609</v>
      </c>
      <c r="AA66" s="37">
        <f t="shared" si="5"/>
        <v>-0.44945692130845749</v>
      </c>
      <c r="AB66" s="35"/>
      <c r="AC66" s="205">
        <f t="shared" si="6"/>
        <v>2.8333333333333335E-2</v>
      </c>
      <c r="AD66" s="205">
        <f t="shared" si="7"/>
        <v>0.12416666666666666</v>
      </c>
      <c r="AE66" s="202">
        <f>G66</f>
        <v>0.17583333333333331</v>
      </c>
      <c r="AF66" s="15">
        <f t="shared" si="12"/>
        <v>-0.2558333333333333</v>
      </c>
      <c r="AG66" s="15">
        <f t="shared" si="13"/>
        <v>-0.16416666666666666</v>
      </c>
      <c r="AH66" s="15">
        <f>M66</f>
        <v>-0.13999999999999999</v>
      </c>
      <c r="AI66" s="200">
        <f t="shared" si="8"/>
        <v>-0.10645833333333335</v>
      </c>
      <c r="AK66" s="37">
        <f>AA66-AI66</f>
        <v>-0.34299858797512417</v>
      </c>
      <c r="AM66" s="106">
        <f>($G$14*AA66)-($G$15*AI66)</f>
        <v>-51.627236078032922</v>
      </c>
    </row>
    <row r="67" spans="1:39" x14ac:dyDescent="0.2">
      <c r="A67" s="24">
        <v>42794</v>
      </c>
      <c r="B67" s="4"/>
      <c r="C67" s="25">
        <v>1.755E-2</v>
      </c>
      <c r="D67" s="4"/>
      <c r="E67" s="15">
        <v>1.1666666666666667E-2</v>
      </c>
      <c r="F67" s="4">
        <v>9.4166666666666662E-2</v>
      </c>
      <c r="G67" s="4">
        <v>0.15416666666666667</v>
      </c>
      <c r="H67" s="15">
        <v>2.6768879107796684</v>
      </c>
      <c r="I67" s="15">
        <v>1.1857445200154859</v>
      </c>
      <c r="J67" s="4">
        <f t="shared" si="14"/>
        <v>1.9941141862290068</v>
      </c>
      <c r="K67" s="15">
        <v>-0.24750000000000003</v>
      </c>
      <c r="L67" s="4">
        <v>-0.16833333333333333</v>
      </c>
      <c r="M67" s="16">
        <v>-0.14333333333333334</v>
      </c>
      <c r="N67" s="4"/>
      <c r="O67" s="22">
        <v>3.1399660520000001</v>
      </c>
      <c r="P67" s="22">
        <v>4.2890922859999998</v>
      </c>
      <c r="Q67" s="22">
        <v>3.6799785100000002</v>
      </c>
      <c r="R67" s="16">
        <f t="shared" si="9"/>
        <v>3.2942364799726453</v>
      </c>
      <c r="S67" s="4"/>
      <c r="T67" s="22">
        <v>6.3542750379999999</v>
      </c>
      <c r="U67" s="4">
        <f t="shared" si="10"/>
        <v>4.6196858202718705</v>
      </c>
      <c r="V67" s="22">
        <v>1.2156038199999999</v>
      </c>
      <c r="W67" s="4">
        <f t="shared" si="11"/>
        <v>1.0135998301201252</v>
      </c>
      <c r="X67" s="4">
        <v>5.5E-2</v>
      </c>
      <c r="Y67" s="4">
        <f t="shared" si="16"/>
        <v>-3.7449999999999997E-2</v>
      </c>
      <c r="Z67" s="4">
        <f t="shared" si="15"/>
        <v>0.97614983012012524</v>
      </c>
      <c r="AA67" s="37">
        <f t="shared" si="5"/>
        <v>2.5257042870557784</v>
      </c>
      <c r="AB67" s="35"/>
      <c r="AC67" s="205">
        <f t="shared" si="6"/>
        <v>1.1666666666666667E-2</v>
      </c>
      <c r="AD67" s="205">
        <f t="shared" si="7"/>
        <v>9.4166666666666662E-2</v>
      </c>
      <c r="AE67" s="202">
        <f>G67</f>
        <v>0.15416666666666667</v>
      </c>
      <c r="AF67" s="15">
        <f t="shared" si="12"/>
        <v>-0.24750000000000003</v>
      </c>
      <c r="AG67" s="15">
        <f t="shared" si="13"/>
        <v>-0.16833333333333333</v>
      </c>
      <c r="AH67" s="15">
        <f>M67</f>
        <v>-0.14333333333333334</v>
      </c>
      <c r="AI67" s="200">
        <f t="shared" si="8"/>
        <v>-0.11279166666666668</v>
      </c>
      <c r="AK67" s="37">
        <f>AA67-AI67</f>
        <v>2.6384959537224453</v>
      </c>
      <c r="AM67" s="106">
        <f>($G$14*AA67)-($G$15*AI67)</f>
        <v>397.31322779542728</v>
      </c>
    </row>
    <row r="68" spans="1:39" x14ac:dyDescent="0.2">
      <c r="A68" s="24">
        <v>42825</v>
      </c>
      <c r="B68" s="4"/>
      <c r="C68" s="25">
        <v>1.7458333333333301E-2</v>
      </c>
      <c r="D68" s="4"/>
      <c r="E68" s="15">
        <v>1.4166666666666668E-2</v>
      </c>
      <c r="F68" s="4">
        <v>9.4166666666666662E-2</v>
      </c>
      <c r="G68" s="4">
        <v>0.1525</v>
      </c>
      <c r="H68" s="15">
        <v>-0.13048188596865851</v>
      </c>
      <c r="I68" s="15">
        <v>-0.31338695183923404</v>
      </c>
      <c r="J68" s="4">
        <f t="shared" si="14"/>
        <v>-2.562084159621314</v>
      </c>
      <c r="K68" s="15">
        <v>-0.26833333333333337</v>
      </c>
      <c r="L68" s="4">
        <v>-0.17249999999999999</v>
      </c>
      <c r="M68" s="16">
        <v>-0.14666666666666667</v>
      </c>
      <c r="N68" s="4"/>
      <c r="O68" s="22">
        <v>0.96381111699999999</v>
      </c>
      <c r="P68" s="22">
        <v>0.43963242200000002</v>
      </c>
      <c r="Q68" s="22">
        <v>1.005382065</v>
      </c>
      <c r="R68" s="16">
        <f t="shared" si="9"/>
        <v>1.4631529479945291</v>
      </c>
      <c r="S68" s="4"/>
      <c r="T68" s="22">
        <v>-0.111079363</v>
      </c>
      <c r="U68" s="4">
        <f t="shared" si="10"/>
        <v>0.83507367365437413</v>
      </c>
      <c r="V68" s="22">
        <v>4.1504949999999997E-3</v>
      </c>
      <c r="W68" s="4">
        <f t="shared" si="11"/>
        <v>0.20604036202402506</v>
      </c>
      <c r="X68" s="4">
        <v>6.5833333333333341E-2</v>
      </c>
      <c r="Y68" s="4">
        <f t="shared" si="16"/>
        <v>-4.8375000000000043E-2</v>
      </c>
      <c r="Z68" s="4">
        <f t="shared" si="15"/>
        <v>0.15766536202402504</v>
      </c>
      <c r="AA68" s="37">
        <f t="shared" si="5"/>
        <v>0.32195109833132546</v>
      </c>
      <c r="AB68" s="35"/>
      <c r="AC68" s="205">
        <f t="shared" si="6"/>
        <v>1.4166666666666668E-2</v>
      </c>
      <c r="AD68" s="205">
        <f t="shared" si="7"/>
        <v>9.4166666666666662E-2</v>
      </c>
      <c r="AE68" s="202">
        <f>G68</f>
        <v>0.1525</v>
      </c>
      <c r="AF68" s="15">
        <f t="shared" si="12"/>
        <v>-0.26833333333333337</v>
      </c>
      <c r="AG68" s="15">
        <f t="shared" si="13"/>
        <v>-0.17249999999999999</v>
      </c>
      <c r="AH68" s="15">
        <f>M68</f>
        <v>-0.14666666666666667</v>
      </c>
      <c r="AI68" s="200">
        <f t="shared" si="8"/>
        <v>-0.11901388888888891</v>
      </c>
      <c r="AK68" s="37">
        <f>AA68-AI68</f>
        <v>0.44096498722021438</v>
      </c>
      <c r="AM68" s="106">
        <f>($G$14*AA68)-($G$15*AI68)</f>
        <v>66.420616727214593</v>
      </c>
    </row>
    <row r="69" spans="1:39" x14ac:dyDescent="0.2">
      <c r="A69" s="24">
        <v>42855</v>
      </c>
      <c r="B69" s="4"/>
      <c r="C69" s="25">
        <v>1.7616666666666701E-2</v>
      </c>
      <c r="D69" s="4"/>
      <c r="E69" s="15">
        <v>1.0833333333333334E-2</v>
      </c>
      <c r="F69" s="4">
        <v>9.2500000000000013E-2</v>
      </c>
      <c r="G69" s="4">
        <v>0.1525</v>
      </c>
      <c r="H69" s="15">
        <v>0.76695809179585517</v>
      </c>
      <c r="I69" s="15">
        <v>1.0510508383513861</v>
      </c>
      <c r="J69" s="4">
        <f t="shared" si="14"/>
        <v>3.0977075236373164</v>
      </c>
      <c r="K69" s="15">
        <v>-0.25333333333333335</v>
      </c>
      <c r="L69" s="4">
        <v>-0.17249999999999999</v>
      </c>
      <c r="M69" s="16">
        <v>-0.15166666666666667</v>
      </c>
      <c r="N69" s="4"/>
      <c r="O69" s="22">
        <v>-1.3896234139999999</v>
      </c>
      <c r="P69" s="22">
        <v>-1.898618935</v>
      </c>
      <c r="Q69" s="22">
        <v>0.95992976100000005</v>
      </c>
      <c r="R69" s="16">
        <f t="shared" si="9"/>
        <v>1.060574398398906</v>
      </c>
      <c r="S69" s="4"/>
      <c r="T69" s="22">
        <v>4.6916930580000002</v>
      </c>
      <c r="U69" s="4">
        <f t="shared" si="10"/>
        <v>3.9203691811308752</v>
      </c>
      <c r="V69" s="22">
        <v>0.243874173</v>
      </c>
      <c r="W69" s="4">
        <f t="shared" si="11"/>
        <v>0.23630741080480502</v>
      </c>
      <c r="X69" s="4">
        <v>7.4999999999999997E-2</v>
      </c>
      <c r="Y69" s="4">
        <f t="shared" si="16"/>
        <v>-5.73833333333333E-2</v>
      </c>
      <c r="Z69" s="4">
        <f t="shared" si="15"/>
        <v>0.17892407747147171</v>
      </c>
      <c r="AA69" s="37">
        <f t="shared" si="5"/>
        <v>-0.38364685529762182</v>
      </c>
      <c r="AB69" s="35"/>
      <c r="AC69" s="205">
        <f t="shared" si="6"/>
        <v>1.0833333333333334E-2</v>
      </c>
      <c r="AD69" s="205">
        <f t="shared" si="7"/>
        <v>9.2500000000000013E-2</v>
      </c>
      <c r="AE69" s="202">
        <f>G69</f>
        <v>0.1525</v>
      </c>
      <c r="AF69" s="15">
        <f t="shared" si="12"/>
        <v>-0.25333333333333335</v>
      </c>
      <c r="AG69" s="15">
        <f t="shared" si="13"/>
        <v>-0.17249999999999999</v>
      </c>
      <c r="AH69" s="15">
        <f>M69</f>
        <v>-0.15166666666666667</v>
      </c>
      <c r="AI69" s="200">
        <f t="shared" si="8"/>
        <v>-0.11765277777777779</v>
      </c>
      <c r="AK69" s="37">
        <f>AA69-AI69</f>
        <v>-0.26599407751984405</v>
      </c>
      <c r="AM69" s="106">
        <f>($G$14*AA69)-($G$15*AI69)</f>
        <v>-40.030174245123703</v>
      </c>
    </row>
    <row r="70" spans="1:39" x14ac:dyDescent="0.2">
      <c r="A70" s="24">
        <v>42886</v>
      </c>
      <c r="B70" s="4"/>
      <c r="C70" s="25">
        <v>1.77166666666667E-2</v>
      </c>
      <c r="D70" s="4"/>
      <c r="E70" s="15">
        <v>1.1666666666666667E-2</v>
      </c>
      <c r="F70" s="4">
        <v>8.9166666666666672E-2</v>
      </c>
      <c r="G70" s="4">
        <v>0.14916666666666667</v>
      </c>
      <c r="H70" s="15">
        <v>1.5935076252021285</v>
      </c>
      <c r="I70" s="15">
        <v>0.72617613990578755</v>
      </c>
      <c r="J70" s="4">
        <f t="shared" si="14"/>
        <v>0.23886409223738969</v>
      </c>
      <c r="K70" s="15">
        <v>-0.24666666666666667</v>
      </c>
      <c r="L70" s="4">
        <v>-0.16916666666666666</v>
      </c>
      <c r="M70" s="16">
        <v>-0.14499999999999999</v>
      </c>
      <c r="N70" s="4"/>
      <c r="O70" s="22">
        <v>4.7766041599999998</v>
      </c>
      <c r="P70" s="22">
        <v>2.2793264080000002</v>
      </c>
      <c r="Q70" s="22">
        <v>1.5832887689999999</v>
      </c>
      <c r="R70" s="16">
        <f t="shared" si="9"/>
        <v>1.4787458948797811</v>
      </c>
      <c r="S70" s="4"/>
      <c r="T70" s="22">
        <v>-0.279120806</v>
      </c>
      <c r="U70" s="4">
        <f t="shared" si="10"/>
        <v>0.5607771914261751</v>
      </c>
      <c r="V70" s="22">
        <v>0.48507340199999999</v>
      </c>
      <c r="W70" s="4">
        <f t="shared" si="11"/>
        <v>0.43532020376096098</v>
      </c>
      <c r="X70" s="4">
        <v>7.5833333333333336E-2</v>
      </c>
      <c r="Y70" s="4">
        <f t="shared" si="16"/>
        <v>-5.8116666666666636E-2</v>
      </c>
      <c r="Z70" s="4">
        <f t="shared" si="15"/>
        <v>0.37720353709429433</v>
      </c>
      <c r="AA70" s="37">
        <f t="shared" si="5"/>
        <v>1.8101887790863302</v>
      </c>
      <c r="AB70" s="35"/>
      <c r="AC70" s="205">
        <f t="shared" si="6"/>
        <v>1.1666666666666667E-2</v>
      </c>
      <c r="AD70" s="205">
        <f t="shared" si="7"/>
        <v>8.9166666666666672E-2</v>
      </c>
      <c r="AE70" s="202">
        <f>G70</f>
        <v>0.14916666666666667</v>
      </c>
      <c r="AF70" s="15">
        <f t="shared" si="12"/>
        <v>-0.24666666666666667</v>
      </c>
      <c r="AG70" s="15">
        <f t="shared" si="13"/>
        <v>-0.16916666666666666</v>
      </c>
      <c r="AH70" s="15">
        <f>M70</f>
        <v>-0.14499999999999999</v>
      </c>
      <c r="AI70" s="200">
        <f t="shared" si="8"/>
        <v>-0.11420833333333333</v>
      </c>
      <c r="AK70" s="37">
        <f>AA70-AI70</f>
        <v>1.9243971124196635</v>
      </c>
      <c r="AM70" s="106">
        <f>($G$14*AA70)-($G$15*AI70)</f>
        <v>289.78788143321583</v>
      </c>
    </row>
    <row r="71" spans="1:39" x14ac:dyDescent="0.2">
      <c r="A71" s="24">
        <v>42916</v>
      </c>
      <c r="B71" s="4"/>
      <c r="C71" s="25">
        <v>1.7675E-2</v>
      </c>
      <c r="D71" s="4"/>
      <c r="E71" s="15">
        <v>3.1666666666666669E-2</v>
      </c>
      <c r="F71" s="4">
        <v>0.10833333333333334</v>
      </c>
      <c r="G71" s="4">
        <v>0.16333333333333333</v>
      </c>
      <c r="H71" s="15">
        <v>-1.2531727101685597</v>
      </c>
      <c r="I71" s="15">
        <v>0.14213241595320003</v>
      </c>
      <c r="J71" s="4">
        <f t="shared" si="14"/>
        <v>-0.73393316997568125</v>
      </c>
      <c r="K71" s="15">
        <v>-0.22083333333333333</v>
      </c>
      <c r="L71" s="4">
        <v>-0.1525</v>
      </c>
      <c r="M71" s="16">
        <v>-0.13333333333333333</v>
      </c>
      <c r="N71" s="4"/>
      <c r="O71" s="22">
        <v>-2.8549986349999998</v>
      </c>
      <c r="P71" s="22">
        <v>-0.199683005</v>
      </c>
      <c r="Q71" s="22">
        <v>1.162434594</v>
      </c>
      <c r="R71" s="16">
        <f t="shared" si="9"/>
        <v>1.2256968541759563</v>
      </c>
      <c r="S71" s="4"/>
      <c r="T71" s="22">
        <v>-2.6247164139999999</v>
      </c>
      <c r="U71" s="4">
        <f t="shared" si="10"/>
        <v>-1.9876176929147651</v>
      </c>
      <c r="V71" s="22">
        <v>0.405470051</v>
      </c>
      <c r="W71" s="4">
        <f t="shared" si="11"/>
        <v>0.41144008155219225</v>
      </c>
      <c r="X71" s="4">
        <v>8.666666666666667E-2</v>
      </c>
      <c r="Y71" s="4">
        <f t="shared" si="16"/>
        <v>-6.8991666666666673E-2</v>
      </c>
      <c r="Z71" s="4">
        <f t="shared" si="15"/>
        <v>0.34244841488552558</v>
      </c>
      <c r="AA71" s="37">
        <f t="shared" si="5"/>
        <v>-0.8739297602339734</v>
      </c>
      <c r="AB71" s="35"/>
      <c r="AC71" s="205">
        <f t="shared" si="6"/>
        <v>3.1666666666666669E-2</v>
      </c>
      <c r="AD71" s="205">
        <f t="shared" si="7"/>
        <v>0.10833333333333334</v>
      </c>
      <c r="AE71" s="202">
        <f>G71</f>
        <v>0.16333333333333333</v>
      </c>
      <c r="AF71" s="15">
        <f t="shared" si="12"/>
        <v>-0.22083333333333333</v>
      </c>
      <c r="AG71" s="15">
        <f t="shared" si="13"/>
        <v>-0.1525</v>
      </c>
      <c r="AH71" s="15">
        <f>M71</f>
        <v>-0.13333333333333333</v>
      </c>
      <c r="AI71" s="200">
        <f t="shared" si="8"/>
        <v>-9.6694444444444444E-2</v>
      </c>
      <c r="AK71" s="37">
        <f>AA71-AI71</f>
        <v>-0.77723531578952898</v>
      </c>
      <c r="AM71" s="106">
        <f>($G$14*AA71)-($G$15*AI71)</f>
        <v>-117.0143610088348</v>
      </c>
    </row>
    <row r="72" spans="1:39" x14ac:dyDescent="0.2">
      <c r="A72" s="24">
        <v>42947</v>
      </c>
      <c r="B72" s="4"/>
      <c r="C72" s="25">
        <v>1.77E-2</v>
      </c>
      <c r="D72" s="4"/>
      <c r="E72" s="15">
        <v>2.4999999999999998E-2</v>
      </c>
      <c r="F72" s="4">
        <v>0.105</v>
      </c>
      <c r="G72" s="4">
        <v>0.16333333333333333</v>
      </c>
      <c r="H72" s="15">
        <v>1.0778075044919677</v>
      </c>
      <c r="I72" s="15">
        <v>0.82148273572242303</v>
      </c>
      <c r="J72" s="4">
        <f t="shared" si="14"/>
        <v>1.8405082153762575</v>
      </c>
      <c r="K72" s="15">
        <v>-0.21916666666666665</v>
      </c>
      <c r="L72" s="4">
        <v>-0.14916666666666667</v>
      </c>
      <c r="M72" s="16">
        <v>-0.12916666666666668</v>
      </c>
      <c r="N72" s="4"/>
      <c r="O72" s="22">
        <v>1.0806548359999999</v>
      </c>
      <c r="P72" s="22">
        <v>1.071754053</v>
      </c>
      <c r="Q72" s="22">
        <v>1.3304857809999999</v>
      </c>
      <c r="R72" s="16">
        <f t="shared" si="9"/>
        <v>1.3095279956351913</v>
      </c>
      <c r="S72" s="4"/>
      <c r="T72" s="22">
        <v>1.8790503489999999</v>
      </c>
      <c r="U72" s="4">
        <f t="shared" si="10"/>
        <v>1.1057167406170469</v>
      </c>
      <c r="V72" s="22">
        <v>0.915896398</v>
      </c>
      <c r="W72" s="4">
        <f t="shared" si="11"/>
        <v>0.81500513471043856</v>
      </c>
      <c r="X72" s="4">
        <v>9.5833333333333326E-2</v>
      </c>
      <c r="Y72" s="4">
        <f t="shared" si="16"/>
        <v>-7.8133333333333332E-2</v>
      </c>
      <c r="Z72" s="4">
        <f t="shared" si="15"/>
        <v>0.73687180137710517</v>
      </c>
      <c r="AA72" s="37">
        <f t="shared" si="5"/>
        <v>0.77913542886387466</v>
      </c>
      <c r="AB72" s="35"/>
      <c r="AC72" s="205">
        <f t="shared" si="6"/>
        <v>2.4999999999999998E-2</v>
      </c>
      <c r="AD72" s="205">
        <f t="shared" si="7"/>
        <v>0.105</v>
      </c>
      <c r="AE72" s="202">
        <f>G72</f>
        <v>0.16333333333333333</v>
      </c>
      <c r="AF72" s="15">
        <f t="shared" si="12"/>
        <v>-0.21916666666666665</v>
      </c>
      <c r="AG72" s="15">
        <f t="shared" si="13"/>
        <v>-0.14916666666666667</v>
      </c>
      <c r="AH72" s="15">
        <f>M72</f>
        <v>-0.12916666666666668</v>
      </c>
      <c r="AI72" s="200">
        <f t="shared" si="8"/>
        <v>-9.5097222222222222E-2</v>
      </c>
      <c r="AK72" s="37">
        <f>AA72-AI72</f>
        <v>0.87423265108609693</v>
      </c>
      <c r="AM72" s="106">
        <f>($G$14*AA72)-($G$15*AI72)</f>
        <v>131.65554092716908</v>
      </c>
    </row>
    <row r="73" spans="1:39" x14ac:dyDescent="0.2">
      <c r="A73" s="24">
        <v>42978</v>
      </c>
      <c r="B73" s="4"/>
      <c r="C73" s="25">
        <v>1.7766666666666701E-2</v>
      </c>
      <c r="D73" s="4"/>
      <c r="E73" s="15">
        <v>1.5833333333333335E-2</v>
      </c>
      <c r="F73" s="4">
        <v>9.0000000000000011E-2</v>
      </c>
      <c r="G73" s="4">
        <v>0.14916666666666667</v>
      </c>
      <c r="H73" s="15">
        <v>0.92211165473070622</v>
      </c>
      <c r="I73" s="15">
        <v>-4.1057191131377291E-2</v>
      </c>
      <c r="J73" s="4">
        <f t="shared" si="14"/>
        <v>-1.3348670814120778</v>
      </c>
      <c r="K73" s="15">
        <v>-0.23416666666666666</v>
      </c>
      <c r="L73" s="4">
        <v>-0.16833333333333333</v>
      </c>
      <c r="M73" s="16">
        <v>-0.14583333333333334</v>
      </c>
      <c r="N73" s="4"/>
      <c r="O73" s="22">
        <v>1.685520884</v>
      </c>
      <c r="P73" s="22">
        <v>2.3707897760000001</v>
      </c>
      <c r="Q73" s="22">
        <v>1.092906012</v>
      </c>
      <c r="R73" s="16">
        <f t="shared" si="9"/>
        <v>1.1362304087270383</v>
      </c>
      <c r="S73" s="4"/>
      <c r="T73" s="22">
        <v>-0.34560055099999998</v>
      </c>
      <c r="U73" s="4">
        <f t="shared" si="10"/>
        <v>-5.5337092676590593E-2</v>
      </c>
      <c r="V73" s="22">
        <v>0.51742724399999995</v>
      </c>
      <c r="W73" s="4">
        <f t="shared" si="11"/>
        <v>0.5769428221420877</v>
      </c>
      <c r="X73" s="4">
        <v>9.6666666666666665E-2</v>
      </c>
      <c r="Y73" s="4">
        <f t="shared" si="16"/>
        <v>-7.889999999999997E-2</v>
      </c>
      <c r="Z73" s="4">
        <f t="shared" si="15"/>
        <v>0.49804282214208773</v>
      </c>
      <c r="AA73" s="37">
        <f t="shared" si="5"/>
        <v>1.1252408849651883</v>
      </c>
      <c r="AB73" s="35"/>
      <c r="AC73" s="205">
        <f t="shared" si="6"/>
        <v>1.5833333333333335E-2</v>
      </c>
      <c r="AD73" s="205">
        <f t="shared" si="7"/>
        <v>9.0000000000000011E-2</v>
      </c>
      <c r="AE73" s="202">
        <f>G73</f>
        <v>0.14916666666666667</v>
      </c>
      <c r="AF73" s="15">
        <f t="shared" si="12"/>
        <v>-0.23416666666666666</v>
      </c>
      <c r="AG73" s="15">
        <f t="shared" si="13"/>
        <v>-0.16833333333333333</v>
      </c>
      <c r="AH73" s="15">
        <f>M73</f>
        <v>-0.14583333333333334</v>
      </c>
      <c r="AI73" s="200">
        <f t="shared" si="8"/>
        <v>-0.11130555555555557</v>
      </c>
      <c r="AK73" s="37">
        <f>AA73-AI73</f>
        <v>1.2365464405207438</v>
      </c>
      <c r="AM73" s="106">
        <f>($G$14*AA73)-($G$15*AI73)</f>
        <v>186.21405384188543</v>
      </c>
    </row>
    <row r="74" spans="1:39" x14ac:dyDescent="0.2">
      <c r="A74" s="24">
        <v>43008</v>
      </c>
      <c r="B74" s="4"/>
      <c r="C74" s="25">
        <v>1.7691666666666699E-2</v>
      </c>
      <c r="D74" s="4"/>
      <c r="E74" s="15">
        <v>4.4166666666666667E-2</v>
      </c>
      <c r="F74" s="4">
        <v>0.11666666666666665</v>
      </c>
      <c r="G74" s="4">
        <v>0.16666666666666666</v>
      </c>
      <c r="H74" s="15">
        <v>-1.9812761571143978</v>
      </c>
      <c r="I74" s="15">
        <v>0.51526682350360176</v>
      </c>
      <c r="J74" s="4">
        <f t="shared" si="14"/>
        <v>1.3497528454560703</v>
      </c>
      <c r="K74" s="15">
        <v>-0.21083333333333332</v>
      </c>
      <c r="L74" s="4">
        <v>-0.14583333333333334</v>
      </c>
      <c r="M74" s="16">
        <v>-0.12916666666666668</v>
      </c>
      <c r="N74" s="4"/>
      <c r="O74" s="22">
        <v>-0.87065094099999996</v>
      </c>
      <c r="P74" s="22">
        <v>-1.739572782</v>
      </c>
      <c r="Q74" s="22">
        <v>-0.52747153999999996</v>
      </c>
      <c r="R74" s="16">
        <f t="shared" si="9"/>
        <v>-0.19473115025459231</v>
      </c>
      <c r="S74" s="4"/>
      <c r="T74" s="22">
        <v>-1.658596245</v>
      </c>
      <c r="U74" s="4">
        <f t="shared" si="10"/>
        <v>-1.3379444145353183</v>
      </c>
      <c r="V74" s="22">
        <v>0.15898698</v>
      </c>
      <c r="W74" s="4">
        <f t="shared" si="11"/>
        <v>0.24257814842841754</v>
      </c>
      <c r="X74" s="4">
        <v>9.5833333333333326E-2</v>
      </c>
      <c r="Y74" s="4">
        <f t="shared" si="16"/>
        <v>-7.8141666666666623E-2</v>
      </c>
      <c r="Z74" s="4">
        <f t="shared" si="15"/>
        <v>0.16443648176175091</v>
      </c>
      <c r="AA74" s="37">
        <f t="shared" si="5"/>
        <v>-1.0801430002995103</v>
      </c>
      <c r="AB74" s="35"/>
      <c r="AC74" s="205">
        <f t="shared" si="6"/>
        <v>4.4166666666666667E-2</v>
      </c>
      <c r="AD74" s="205">
        <f t="shared" si="7"/>
        <v>0.11666666666666665</v>
      </c>
      <c r="AE74" s="202">
        <f>G74</f>
        <v>0.16666666666666666</v>
      </c>
      <c r="AF74" s="15">
        <f t="shared" si="12"/>
        <v>-0.21083333333333332</v>
      </c>
      <c r="AG74" s="15">
        <f t="shared" si="13"/>
        <v>-0.14583333333333334</v>
      </c>
      <c r="AH74" s="15">
        <f>M74</f>
        <v>-0.12916666666666668</v>
      </c>
      <c r="AI74" s="200">
        <f t="shared" si="8"/>
        <v>-8.9708333333333348E-2</v>
      </c>
      <c r="AK74" s="37">
        <f>AA74-AI74</f>
        <v>-0.99043466696617688</v>
      </c>
      <c r="AM74" s="106">
        <f>($G$14*AA74)-($G$15*AI74)</f>
        <v>-149.11820972586167</v>
      </c>
    </row>
    <row r="75" spans="1:39" x14ac:dyDescent="0.2">
      <c r="A75" s="24">
        <v>43039</v>
      </c>
      <c r="B75" s="4"/>
      <c r="C75" s="25">
        <v>1.7583333333333302E-2</v>
      </c>
      <c r="D75" s="4"/>
      <c r="E75" s="15">
        <v>4.5000000000000005E-2</v>
      </c>
      <c r="F75" s="4">
        <v>0.11583333333333333</v>
      </c>
      <c r="G75" s="4">
        <v>0.16666666666666666</v>
      </c>
      <c r="H75" s="15">
        <v>0.41718511161819016</v>
      </c>
      <c r="I75" s="15">
        <v>0.21338954083844897</v>
      </c>
      <c r="J75" s="4">
        <f t="shared" si="14"/>
        <v>-0.23942638315928022</v>
      </c>
      <c r="K75" s="15">
        <v>-0.20166666666666666</v>
      </c>
      <c r="L75" s="4">
        <v>-0.14666666666666667</v>
      </c>
      <c r="M75" s="16">
        <v>-0.13</v>
      </c>
      <c r="N75" s="4"/>
      <c r="O75" s="22">
        <v>2.0803209009999999</v>
      </c>
      <c r="P75" s="22">
        <v>3.1281369630000002</v>
      </c>
      <c r="Q75" s="22">
        <v>1.0517607170000001</v>
      </c>
      <c r="R75" s="16">
        <f t="shared" si="9"/>
        <v>0.80246234354908164</v>
      </c>
      <c r="S75" s="4"/>
      <c r="T75" s="22">
        <v>0.25152692399999999</v>
      </c>
      <c r="U75" s="4">
        <f t="shared" si="10"/>
        <v>-6.6367343707063681E-2</v>
      </c>
      <c r="V75" s="22">
        <v>0.82084155700000005</v>
      </c>
      <c r="W75" s="4">
        <f t="shared" si="11"/>
        <v>0.70518887528568364</v>
      </c>
      <c r="X75" s="4">
        <v>9.5833333333333326E-2</v>
      </c>
      <c r="Y75" s="4">
        <f t="shared" si="16"/>
        <v>-7.8250000000000028E-2</v>
      </c>
      <c r="Z75" s="4">
        <f t="shared" si="15"/>
        <v>0.62693887528568359</v>
      </c>
      <c r="AA75" s="37">
        <f t="shared" si="5"/>
        <v>1.2933080083597004</v>
      </c>
      <c r="AB75" s="35"/>
      <c r="AC75" s="205">
        <f t="shared" si="6"/>
        <v>4.5000000000000005E-2</v>
      </c>
      <c r="AD75" s="205">
        <f t="shared" si="7"/>
        <v>0.11583333333333333</v>
      </c>
      <c r="AE75" s="202">
        <f>G75</f>
        <v>0.16666666666666666</v>
      </c>
      <c r="AF75" s="15">
        <f t="shared" si="12"/>
        <v>-0.20166666666666666</v>
      </c>
      <c r="AG75" s="15">
        <f t="shared" si="13"/>
        <v>-0.14666666666666667</v>
      </c>
      <c r="AH75" s="15">
        <f>M75</f>
        <v>-0.13</v>
      </c>
      <c r="AI75" s="200">
        <f t="shared" si="8"/>
        <v>-8.8361111111111112E-2</v>
      </c>
      <c r="AK75" s="37">
        <f>AA75-AI75</f>
        <v>1.3816691194708115</v>
      </c>
      <c r="AM75" s="106">
        <f>($G$14*AA75)-($G$15*AI75)</f>
        <v>208.06165664502709</v>
      </c>
    </row>
    <row r="76" spans="1:39" x14ac:dyDescent="0.2">
      <c r="A76" s="24">
        <v>43069</v>
      </c>
      <c r="B76" s="4"/>
      <c r="C76" s="25">
        <v>3.7441666666666699E-2</v>
      </c>
      <c r="D76" s="4"/>
      <c r="E76" s="15">
        <v>4.9166666666666664E-2</v>
      </c>
      <c r="F76" s="4">
        <v>0.11499999999999999</v>
      </c>
      <c r="G76" s="4">
        <v>0.16250000000000001</v>
      </c>
      <c r="H76" s="15">
        <v>-0.28095167329043047</v>
      </c>
      <c r="I76" s="15">
        <v>-0.27952825092398825</v>
      </c>
      <c r="J76" s="4">
        <f t="shared" si="14"/>
        <v>-1.0189049385676441</v>
      </c>
      <c r="K76" s="15">
        <v>-0.19416666666666668</v>
      </c>
      <c r="L76" s="4">
        <v>-0.14499999999999999</v>
      </c>
      <c r="M76" s="16">
        <v>-0.13333333333333333</v>
      </c>
      <c r="N76" s="4"/>
      <c r="O76" s="22">
        <v>-1.7987221369999999</v>
      </c>
      <c r="P76" s="22">
        <v>0.228688945</v>
      </c>
      <c r="Q76" s="22">
        <v>-1.7404055650000001</v>
      </c>
      <c r="R76" s="16">
        <f t="shared" si="9"/>
        <v>-1.2318319832901838</v>
      </c>
      <c r="S76" s="4"/>
      <c r="T76" s="22">
        <v>-0.46234127600000002</v>
      </c>
      <c r="U76" s="4">
        <f t="shared" si="10"/>
        <v>-0.38314648954141278</v>
      </c>
      <c r="V76" s="22">
        <v>0.62238230299999997</v>
      </c>
      <c r="W76" s="4">
        <f t="shared" si="11"/>
        <v>0.63894361745713679</v>
      </c>
      <c r="X76" s="4">
        <v>9.6666666666666665E-2</v>
      </c>
      <c r="Y76" s="4">
        <f t="shared" si="16"/>
        <v>-5.9224999999999965E-2</v>
      </c>
      <c r="Z76" s="4">
        <f t="shared" si="15"/>
        <v>0.57971861745713682</v>
      </c>
      <c r="AA76" s="37">
        <f t="shared" si="5"/>
        <v>-0.34952011853591453</v>
      </c>
      <c r="AB76" s="35"/>
      <c r="AC76" s="205">
        <f t="shared" si="6"/>
        <v>4.9166666666666664E-2</v>
      </c>
      <c r="AD76" s="205">
        <f t="shared" si="7"/>
        <v>0.11499999999999999</v>
      </c>
      <c r="AE76" s="202">
        <f>G76</f>
        <v>0.16250000000000001</v>
      </c>
      <c r="AF76" s="15">
        <f t="shared" si="12"/>
        <v>-0.19416666666666668</v>
      </c>
      <c r="AG76" s="15">
        <f t="shared" si="13"/>
        <v>-0.14499999999999999</v>
      </c>
      <c r="AH76" s="15">
        <f>M76</f>
        <v>-0.13333333333333333</v>
      </c>
      <c r="AI76" s="200">
        <f t="shared" si="8"/>
        <v>-8.7347222222222229E-2</v>
      </c>
      <c r="AK76" s="37">
        <f>AA76-AI76</f>
        <v>-0.26217289631369228</v>
      </c>
      <c r="AM76" s="106">
        <f>($G$14*AA76)-($G$15*AI76)</f>
        <v>-39.460452956023687</v>
      </c>
    </row>
    <row r="77" spans="1:39" x14ac:dyDescent="0.2">
      <c r="A77" s="24">
        <v>43100</v>
      </c>
      <c r="B77" s="4"/>
      <c r="C77" s="25">
        <v>3.8491666666666702E-2</v>
      </c>
      <c r="D77" s="4"/>
      <c r="E77" s="15">
        <v>4.3333333333333335E-2</v>
      </c>
      <c r="F77" s="4">
        <v>0.105</v>
      </c>
      <c r="G77" s="4">
        <v>0.1525</v>
      </c>
      <c r="H77" s="15">
        <v>1.9238864351729723</v>
      </c>
      <c r="I77" s="15">
        <v>-0.11978702447255074</v>
      </c>
      <c r="J77" s="4">
        <f t="shared" si="14"/>
        <v>0.11982481520460553</v>
      </c>
      <c r="K77" s="15">
        <v>-0.19333333333333333</v>
      </c>
      <c r="L77" s="4">
        <v>-0.15583333333333335</v>
      </c>
      <c r="M77" s="16">
        <v>-0.14249999999999999</v>
      </c>
      <c r="N77" s="4"/>
      <c r="O77" s="22">
        <v>5.1959081439999997</v>
      </c>
      <c r="P77" s="22">
        <v>2.0344115679999999</v>
      </c>
      <c r="Q77" s="22">
        <v>2.4380767520000002</v>
      </c>
      <c r="R77" s="16">
        <f t="shared" si="9"/>
        <v>1.7040950049419634</v>
      </c>
      <c r="S77" s="4"/>
      <c r="T77" s="22">
        <v>8.3984670819999998</v>
      </c>
      <c r="U77" s="4">
        <f t="shared" si="10"/>
        <v>6.642144367691718</v>
      </c>
      <c r="V77" s="22">
        <v>0.42610824400000002</v>
      </c>
      <c r="W77" s="4">
        <f t="shared" si="11"/>
        <v>0.46867531869142742</v>
      </c>
      <c r="X77" s="4">
        <v>0.10833333333333334</v>
      </c>
      <c r="Y77" s="4">
        <f t="shared" si="16"/>
        <v>-6.9841666666666635E-2</v>
      </c>
      <c r="Z77" s="4">
        <f t="shared" si="15"/>
        <v>0.39883365202476079</v>
      </c>
      <c r="AA77" s="37">
        <f t="shared" si="5"/>
        <v>2.1937669383125291</v>
      </c>
      <c r="AB77" s="35"/>
      <c r="AC77" s="205">
        <f t="shared" si="6"/>
        <v>4.3333333333333335E-2</v>
      </c>
      <c r="AD77" s="205">
        <f t="shared" si="7"/>
        <v>0.105</v>
      </c>
      <c r="AE77" s="202">
        <f>G77</f>
        <v>0.1525</v>
      </c>
      <c r="AF77" s="15">
        <f t="shared" si="12"/>
        <v>-0.19333333333333333</v>
      </c>
      <c r="AG77" s="15">
        <f t="shared" si="13"/>
        <v>-0.15583333333333335</v>
      </c>
      <c r="AH77" s="15">
        <f>M77</f>
        <v>-0.14249999999999999</v>
      </c>
      <c r="AI77" s="200">
        <f t="shared" si="8"/>
        <v>-9.4944444444444456E-2</v>
      </c>
      <c r="AK77" s="37">
        <f>AA77-AI77</f>
        <v>2.2887113827569734</v>
      </c>
      <c r="AM77" s="106">
        <f>($G$14*AA77)-($G$15*AI77)</f>
        <v>344.64099930557563</v>
      </c>
    </row>
    <row r="78" spans="1:39" x14ac:dyDescent="0.2">
      <c r="A78" s="24">
        <v>43131</v>
      </c>
      <c r="B78" s="4"/>
      <c r="C78" s="25">
        <v>3.8591666666666698E-2</v>
      </c>
      <c r="D78" s="4"/>
      <c r="E78" s="15">
        <v>6.7500000000000004E-2</v>
      </c>
      <c r="F78" s="4">
        <v>0.12916666666666668</v>
      </c>
      <c r="G78" s="4">
        <v>0.16583333333333333</v>
      </c>
      <c r="H78" s="15">
        <v>-0.79771730631532645</v>
      </c>
      <c r="I78" s="15">
        <v>0.15419725943046636</v>
      </c>
      <c r="J78" s="4">
        <f t="shared" si="14"/>
        <v>0.56517368528499201</v>
      </c>
      <c r="K78" s="15">
        <v>-0.17749999999999999</v>
      </c>
      <c r="L78" s="4">
        <v>-0.13833333333333334</v>
      </c>
      <c r="M78" s="16">
        <v>-0.13166666666666668</v>
      </c>
      <c r="N78" s="4"/>
      <c r="O78" s="22">
        <v>-2.285419901</v>
      </c>
      <c r="P78" s="22">
        <v>-0.428821012</v>
      </c>
      <c r="Q78" s="22">
        <v>-0.74219821900000005</v>
      </c>
      <c r="R78" s="16">
        <f t="shared" si="9"/>
        <v>-0.2529395742116074</v>
      </c>
      <c r="S78" s="4"/>
      <c r="T78" s="22">
        <v>-3.3631346729999998</v>
      </c>
      <c r="U78" s="4">
        <f t="shared" si="10"/>
        <v>-1.3620788648616564</v>
      </c>
      <c r="V78" s="22">
        <v>1.9859014159999999</v>
      </c>
      <c r="W78" s="4">
        <f t="shared" si="11"/>
        <v>1.6824561965382854</v>
      </c>
      <c r="X78" s="4">
        <v>0.11749999999999999</v>
      </c>
      <c r="Y78" s="4">
        <f t="shared" si="16"/>
        <v>-7.8908333333333303E-2</v>
      </c>
      <c r="Z78" s="4">
        <f t="shared" si="15"/>
        <v>1.603547863204952</v>
      </c>
      <c r="AA78" s="37">
        <f t="shared" si="5"/>
        <v>-0.70844610563042631</v>
      </c>
      <c r="AB78" s="35"/>
      <c r="AC78" s="205">
        <f t="shared" si="6"/>
        <v>6.7500000000000004E-2</v>
      </c>
      <c r="AD78" s="205">
        <f t="shared" si="7"/>
        <v>0.12916666666666668</v>
      </c>
      <c r="AE78" s="202">
        <f>G78</f>
        <v>0.16583333333333333</v>
      </c>
      <c r="AF78" s="15">
        <f t="shared" si="12"/>
        <v>-0.17749999999999999</v>
      </c>
      <c r="AG78" s="15">
        <f t="shared" si="13"/>
        <v>-0.13833333333333334</v>
      </c>
      <c r="AH78" s="15">
        <f>M78</f>
        <v>-0.13166666666666668</v>
      </c>
      <c r="AI78" s="200">
        <f t="shared" si="8"/>
        <v>-7.8680555555555559E-2</v>
      </c>
      <c r="AK78" s="37">
        <f>AA78-AI78</f>
        <v>-0.62976555007487078</v>
      </c>
      <c r="AM78" s="106">
        <f>($G$14*AA78)-($G$15*AI78)</f>
        <v>-94.812425152494654</v>
      </c>
    </row>
    <row r="79" spans="1:39" x14ac:dyDescent="0.2">
      <c r="A79" s="24">
        <v>43159</v>
      </c>
      <c r="B79" s="4"/>
      <c r="C79" s="25">
        <v>3.8616666666666702E-2</v>
      </c>
      <c r="D79" s="4"/>
      <c r="E79" s="15">
        <v>6.9999999999999993E-2</v>
      </c>
      <c r="F79" s="4">
        <v>0.13083333333333333</v>
      </c>
      <c r="G79" s="4">
        <v>0.16500000000000001</v>
      </c>
      <c r="H79" s="15">
        <v>-1.2847046772096249</v>
      </c>
      <c r="I79" s="15">
        <v>-0.695973098228031</v>
      </c>
      <c r="J79" s="4">
        <f t="shared" si="14"/>
        <v>-1.971228634715777</v>
      </c>
      <c r="K79" s="15">
        <v>-0.16500000000000001</v>
      </c>
      <c r="L79" s="4">
        <v>-0.13333333333333333</v>
      </c>
      <c r="M79" s="16">
        <v>-0.12833333333333333</v>
      </c>
      <c r="N79" s="4"/>
      <c r="O79" s="22">
        <v>-3.1106310009999998</v>
      </c>
      <c r="P79" s="22">
        <v>-0.29502230899999998</v>
      </c>
      <c r="Q79" s="22">
        <v>-2.210232258</v>
      </c>
      <c r="R79" s="16">
        <f t="shared" si="9"/>
        <v>-1.8187737212423214</v>
      </c>
      <c r="S79" s="4"/>
      <c r="T79" s="22">
        <v>-4.631802295</v>
      </c>
      <c r="U79" s="4">
        <f t="shared" si="10"/>
        <v>-3.9778576089723314</v>
      </c>
      <c r="V79" s="22">
        <v>-1.3454945899999999</v>
      </c>
      <c r="W79" s="4">
        <f t="shared" si="11"/>
        <v>-0.73990443269234296</v>
      </c>
      <c r="X79" s="4">
        <v>0.11833333333333333</v>
      </c>
      <c r="Y79" s="4">
        <f t="shared" si="16"/>
        <v>-7.971666666666663E-2</v>
      </c>
      <c r="Z79" s="4">
        <f t="shared" si="15"/>
        <v>-0.81962109935900962</v>
      </c>
      <c r="AA79" s="37">
        <f t="shared" si="5"/>
        <v>-1.1425691586862545</v>
      </c>
      <c r="AB79" s="35"/>
      <c r="AC79" s="205">
        <f t="shared" si="6"/>
        <v>6.9999999999999993E-2</v>
      </c>
      <c r="AD79" s="205">
        <f t="shared" si="7"/>
        <v>0.13083333333333333</v>
      </c>
      <c r="AE79" s="202">
        <f>G79</f>
        <v>0.16500000000000001</v>
      </c>
      <c r="AF79" s="15">
        <f t="shared" si="12"/>
        <v>-0.16500000000000001</v>
      </c>
      <c r="AG79" s="15">
        <f t="shared" si="13"/>
        <v>-0.13333333333333333</v>
      </c>
      <c r="AH79" s="15">
        <f>M79</f>
        <v>-0.12833333333333333</v>
      </c>
      <c r="AI79" s="200">
        <f t="shared" si="8"/>
        <v>-7.3583333333333334E-2</v>
      </c>
      <c r="AK79" s="37">
        <f>AA79-AI79</f>
        <v>-1.0689858253529212</v>
      </c>
      <c r="AM79" s="106">
        <f>($G$14*AA79)-($G$15*AI79)</f>
        <v>-160.94907833555726</v>
      </c>
    </row>
    <row r="80" spans="1:39" x14ac:dyDescent="0.2">
      <c r="A80" s="24">
        <v>43190</v>
      </c>
      <c r="B80" s="4"/>
      <c r="C80" s="25">
        <v>3.8641666666666699E-2</v>
      </c>
      <c r="D80" s="4"/>
      <c r="E80" s="15">
        <v>7.166666666666667E-2</v>
      </c>
      <c r="F80" s="4">
        <v>0.11833333333333333</v>
      </c>
      <c r="G80" s="4">
        <v>0.14666666666666667</v>
      </c>
      <c r="H80" s="15">
        <v>0.29010016443874465</v>
      </c>
      <c r="I80" s="15">
        <v>-0.46623483458089199</v>
      </c>
      <c r="J80" s="4">
        <f t="shared" si="14"/>
        <v>-0.12162743911018348</v>
      </c>
      <c r="K80" s="15">
        <v>-0.18916666666666668</v>
      </c>
      <c r="L80" s="4">
        <v>-0.14499999999999999</v>
      </c>
      <c r="M80" s="16">
        <v>-0.14166666666666666</v>
      </c>
      <c r="N80" s="4"/>
      <c r="O80" s="22">
        <v>-1.9208752680000001</v>
      </c>
      <c r="P80" s="22">
        <v>-4.6508416620000004</v>
      </c>
      <c r="Q80" s="22">
        <v>-4.8055727179999996</v>
      </c>
      <c r="R80" s="16">
        <f t="shared" si="9"/>
        <v>-4.2082129186484636</v>
      </c>
      <c r="S80" s="4"/>
      <c r="T80" s="22">
        <v>4.3307010889999997</v>
      </c>
      <c r="U80" s="4">
        <f t="shared" si="10"/>
        <v>2.6689893494055337</v>
      </c>
      <c r="V80" s="22">
        <v>-0.48322542200000002</v>
      </c>
      <c r="W80" s="4">
        <f t="shared" si="11"/>
        <v>-0.53456122413846863</v>
      </c>
      <c r="X80" s="4">
        <v>0.12583333333333332</v>
      </c>
      <c r="Y80" s="4">
        <f t="shared" si="16"/>
        <v>-8.7191666666666626E-2</v>
      </c>
      <c r="Z80" s="4">
        <f t="shared" si="15"/>
        <v>-0.62175289080513529</v>
      </c>
      <c r="AA80" s="37">
        <f t="shared" si="5"/>
        <v>-1.4912303020014905</v>
      </c>
      <c r="AB80" s="35"/>
      <c r="AC80" s="205">
        <f t="shared" si="6"/>
        <v>7.166666666666667E-2</v>
      </c>
      <c r="AD80" s="205">
        <f t="shared" si="7"/>
        <v>0.11833333333333333</v>
      </c>
      <c r="AE80" s="202">
        <f>G80</f>
        <v>0.14666666666666667</v>
      </c>
      <c r="AF80" s="15">
        <f t="shared" si="12"/>
        <v>-0.18916666666666668</v>
      </c>
      <c r="AG80" s="15">
        <f t="shared" si="13"/>
        <v>-0.14499999999999999</v>
      </c>
      <c r="AH80" s="15">
        <f>M80</f>
        <v>-0.14166666666666666</v>
      </c>
      <c r="AI80" s="200">
        <f t="shared" si="8"/>
        <v>-8.7916666666666671E-2</v>
      </c>
      <c r="AK80" s="37">
        <f>AA80-AI80</f>
        <v>-1.4033136353348239</v>
      </c>
      <c r="AM80" s="106">
        <f>($G$14*AA80)-($G$15*AI80)</f>
        <v>-211.28789736035088</v>
      </c>
    </row>
    <row r="81" spans="1:39" x14ac:dyDescent="0.2">
      <c r="A81" s="24">
        <v>43220</v>
      </c>
      <c r="B81" s="4"/>
      <c r="C81" s="25">
        <v>3.8475000000000002E-2</v>
      </c>
      <c r="D81" s="4"/>
      <c r="E81" s="15">
        <v>6.9166666666666668E-2</v>
      </c>
      <c r="F81" s="4">
        <v>0.12583333333333332</v>
      </c>
      <c r="G81" s="4">
        <v>0.15666666666666665</v>
      </c>
      <c r="H81" s="15">
        <v>0.21720706952882418</v>
      </c>
      <c r="I81" s="15">
        <v>0.58200757546355009</v>
      </c>
      <c r="J81" s="4">
        <f t="shared" si="14"/>
        <v>2.1543711905302132</v>
      </c>
      <c r="K81" s="15">
        <v>-0.17916666666666667</v>
      </c>
      <c r="L81" s="4">
        <v>-0.13749999999999998</v>
      </c>
      <c r="M81" s="16">
        <v>-0.13083333333333333</v>
      </c>
      <c r="N81" s="4"/>
      <c r="O81" s="22">
        <v>6.4134277529999997</v>
      </c>
      <c r="P81" s="22">
        <v>4.0059682109999999</v>
      </c>
      <c r="Q81" s="22">
        <v>3.8350952469999999</v>
      </c>
      <c r="R81" s="16">
        <f t="shared" si="9"/>
        <v>2.2264336138703071</v>
      </c>
      <c r="S81" s="4"/>
      <c r="T81" s="22">
        <v>4.9021447150000004</v>
      </c>
      <c r="U81" s="4">
        <f t="shared" si="10"/>
        <v>4.4555136418811072</v>
      </c>
      <c r="V81" s="22">
        <v>-0.26065568</v>
      </c>
      <c r="W81" s="4">
        <f t="shared" si="11"/>
        <v>-0.31543678882769377</v>
      </c>
      <c r="X81" s="4">
        <v>0.14083333333333334</v>
      </c>
      <c r="Y81" s="4">
        <f t="shared" si="16"/>
        <v>-0.10235833333333333</v>
      </c>
      <c r="Z81" s="4">
        <f t="shared" si="15"/>
        <v>-0.4177951221610271</v>
      </c>
      <c r="AA81" s="37">
        <f t="shared" si="5"/>
        <v>2.4711222871909655</v>
      </c>
      <c r="AB81" s="35"/>
      <c r="AC81" s="205">
        <f t="shared" si="6"/>
        <v>6.9166666666666668E-2</v>
      </c>
      <c r="AD81" s="205">
        <f t="shared" si="7"/>
        <v>0.12583333333333332</v>
      </c>
      <c r="AE81" s="202">
        <f>G81</f>
        <v>0.15666666666666665</v>
      </c>
      <c r="AF81" s="15">
        <f t="shared" si="12"/>
        <v>-0.17916666666666667</v>
      </c>
      <c r="AG81" s="15">
        <f t="shared" si="13"/>
        <v>-0.13749999999999998</v>
      </c>
      <c r="AH81" s="15">
        <f>M81</f>
        <v>-0.13083333333333333</v>
      </c>
      <c r="AI81" s="200">
        <f t="shared" si="8"/>
        <v>-7.9541666666666677E-2</v>
      </c>
      <c r="AK81" s="37">
        <f>AA81-AI81</f>
        <v>2.5506639538576321</v>
      </c>
      <c r="AM81" s="106">
        <f>($G$14*AA81)-($G$15*AI81)</f>
        <v>384.08169920881789</v>
      </c>
    </row>
    <row r="82" spans="1:39" x14ac:dyDescent="0.2">
      <c r="A82" s="24">
        <v>43251</v>
      </c>
      <c r="B82" s="4"/>
      <c r="C82" s="25">
        <v>3.7741666666666701E-2</v>
      </c>
      <c r="D82" s="4"/>
      <c r="E82" s="15">
        <v>5.5E-2</v>
      </c>
      <c r="F82" s="4">
        <v>0.11083333333333334</v>
      </c>
      <c r="G82" s="4">
        <v>0.14666666666666667</v>
      </c>
      <c r="H82" s="15">
        <v>-0.29605567679293898</v>
      </c>
      <c r="I82" s="15">
        <v>-0.17655457309152522</v>
      </c>
      <c r="J82" s="4">
        <f t="shared" si="14"/>
        <v>-1.3143977959241382</v>
      </c>
      <c r="K82" s="15">
        <v>-0.19916666666666669</v>
      </c>
      <c r="L82" s="4">
        <v>-0.15083333333333335</v>
      </c>
      <c r="M82" s="16">
        <v>-0.13916666666666666</v>
      </c>
      <c r="N82" s="4"/>
      <c r="O82" s="22">
        <v>3.1199459969999999</v>
      </c>
      <c r="P82" s="22">
        <v>3.6887210989999999</v>
      </c>
      <c r="Q82" s="22">
        <v>3.940115053</v>
      </c>
      <c r="R82" s="16">
        <f t="shared" si="9"/>
        <v>3.5973787651740614</v>
      </c>
      <c r="S82" s="4"/>
      <c r="T82" s="22">
        <v>-0.49281082399999998</v>
      </c>
      <c r="U82" s="4">
        <f t="shared" si="10"/>
        <v>0.49685406917622149</v>
      </c>
      <c r="V82" s="22">
        <v>0.694001274</v>
      </c>
      <c r="W82" s="4">
        <f t="shared" si="11"/>
        <v>0.49211366143446122</v>
      </c>
      <c r="X82" s="4">
        <v>0.14166666666666666</v>
      </c>
      <c r="Y82" s="4">
        <f t="shared" si="16"/>
        <v>-0.10392499999999996</v>
      </c>
      <c r="Z82" s="4">
        <f t="shared" si="15"/>
        <v>0.38818866143446129</v>
      </c>
      <c r="AA82" s="37">
        <f t="shared" si="5"/>
        <v>1.5632378548125487</v>
      </c>
      <c r="AB82" s="35"/>
      <c r="AC82" s="205">
        <f t="shared" si="6"/>
        <v>5.5E-2</v>
      </c>
      <c r="AD82" s="205">
        <f t="shared" si="7"/>
        <v>0.11083333333333334</v>
      </c>
      <c r="AE82" s="202">
        <f>G82</f>
        <v>0.14666666666666667</v>
      </c>
      <c r="AF82" s="15">
        <f t="shared" si="12"/>
        <v>-0.19916666666666669</v>
      </c>
      <c r="AG82" s="15">
        <f t="shared" si="13"/>
        <v>-0.15083333333333335</v>
      </c>
      <c r="AH82" s="15">
        <f>M82</f>
        <v>-0.13916666666666666</v>
      </c>
      <c r="AI82" s="200">
        <f t="shared" si="8"/>
        <v>-9.2902777777777792E-2</v>
      </c>
      <c r="AK82" s="37">
        <f>AA82-AI82</f>
        <v>1.6561406325903265</v>
      </c>
      <c r="AM82" s="106">
        <f>($G$14*AA82)-($G$15*AI82)</f>
        <v>249.39112033536455</v>
      </c>
    </row>
    <row r="83" spans="1:39" x14ac:dyDescent="0.2">
      <c r="A83" s="24">
        <v>43281</v>
      </c>
      <c r="B83" s="4"/>
      <c r="C83" s="25">
        <v>3.7558333333333298E-2</v>
      </c>
      <c r="D83" s="4"/>
      <c r="E83" s="15">
        <v>6.4166666666666664E-2</v>
      </c>
      <c r="F83" s="4">
        <v>0.11583333333333333</v>
      </c>
      <c r="G83" s="4">
        <v>0.14916666666666667</v>
      </c>
      <c r="H83" s="15">
        <v>-0.33014033469940252</v>
      </c>
      <c r="I83" s="15">
        <v>-0.43699005497698229</v>
      </c>
      <c r="J83" s="4">
        <f t="shared" si="14"/>
        <v>-0.82764327780516789</v>
      </c>
      <c r="K83" s="15">
        <v>-0.18416666666666667</v>
      </c>
      <c r="L83" s="4">
        <v>-0.14583333333333334</v>
      </c>
      <c r="M83" s="16">
        <v>-0.13583333333333333</v>
      </c>
      <c r="N83" s="4"/>
      <c r="O83" s="22">
        <v>-0.32786811300000002</v>
      </c>
      <c r="P83" s="22">
        <v>0.99534581499999997</v>
      </c>
      <c r="Q83" s="22">
        <v>1.344015395</v>
      </c>
      <c r="R83" s="16">
        <f t="shared" si="9"/>
        <v>1.7946880690348124</v>
      </c>
      <c r="S83" s="4"/>
      <c r="T83" s="22">
        <v>0.27770905000000001</v>
      </c>
      <c r="U83" s="4">
        <f t="shared" si="10"/>
        <v>0.32153805383524431</v>
      </c>
      <c r="V83" s="22">
        <v>-0.68487047099999998</v>
      </c>
      <c r="W83" s="4">
        <f t="shared" si="11"/>
        <v>-0.44947364451310778</v>
      </c>
      <c r="X83" s="4">
        <v>0.15166666666666667</v>
      </c>
      <c r="Y83" s="4">
        <f t="shared" si="16"/>
        <v>-0.11410833333333337</v>
      </c>
      <c r="Z83" s="4">
        <f t="shared" si="15"/>
        <v>-0.56358197784644115</v>
      </c>
      <c r="AA83" s="37">
        <f t="shared" si="5"/>
        <v>0.17050584189129772</v>
      </c>
      <c r="AB83" s="35"/>
      <c r="AC83" s="205">
        <f t="shared" si="6"/>
        <v>6.4166666666666664E-2</v>
      </c>
      <c r="AD83" s="205">
        <f t="shared" si="7"/>
        <v>0.11583333333333333</v>
      </c>
      <c r="AE83" s="202">
        <f>G83</f>
        <v>0.14916666666666667</v>
      </c>
      <c r="AF83" s="15">
        <f t="shared" si="12"/>
        <v>-0.18416666666666667</v>
      </c>
      <c r="AG83" s="15">
        <f t="shared" si="13"/>
        <v>-0.14583333333333334</v>
      </c>
      <c r="AH83" s="15">
        <f>M83</f>
        <v>-0.13583333333333333</v>
      </c>
      <c r="AI83" s="200">
        <f t="shared" si="8"/>
        <v>-8.6250000000000021E-2</v>
      </c>
      <c r="AK83" s="37">
        <f>AA83-AI83</f>
        <v>0.25675584189129774</v>
      </c>
      <c r="AM83" s="106">
        <f>($G$14*AA83)-($G$15*AI83)</f>
        <v>38.677166180305022</v>
      </c>
    </row>
    <row r="84" spans="1:39" x14ac:dyDescent="0.2">
      <c r="A84" s="24">
        <v>43312</v>
      </c>
      <c r="B84" s="4"/>
      <c r="C84" s="25">
        <v>3.7874999999999999E-2</v>
      </c>
      <c r="D84" s="4"/>
      <c r="E84" s="15">
        <v>6.9166666666666668E-2</v>
      </c>
      <c r="F84" s="4">
        <v>0.12</v>
      </c>
      <c r="G84" s="4">
        <v>0.1525</v>
      </c>
      <c r="H84" s="15">
        <v>0.34295357514689817</v>
      </c>
      <c r="I84" s="15">
        <v>1.5605509469549417</v>
      </c>
      <c r="J84" s="4">
        <f t="shared" si="14"/>
        <v>4.5568624498528276</v>
      </c>
      <c r="K84" s="15">
        <v>-0.17749999999999999</v>
      </c>
      <c r="L84" s="4">
        <v>-0.14333333333333334</v>
      </c>
      <c r="M84" s="16">
        <v>-0.13583333333333333</v>
      </c>
      <c r="N84" s="4"/>
      <c r="O84" s="22">
        <v>1.732754583</v>
      </c>
      <c r="P84" s="22">
        <v>3.32296806</v>
      </c>
      <c r="Q84" s="22">
        <v>4.8807902040000002</v>
      </c>
      <c r="R84" s="16">
        <f t="shared" si="9"/>
        <v>4.2635697770069632</v>
      </c>
      <c r="S84" s="4"/>
      <c r="T84" s="22">
        <v>-0.53184642199999999</v>
      </c>
      <c r="U84" s="4">
        <f t="shared" si="10"/>
        <v>-0.36116952683295112</v>
      </c>
      <c r="V84" s="22">
        <v>0.885455616</v>
      </c>
      <c r="W84" s="4">
        <f t="shared" si="11"/>
        <v>0.6184697638973784</v>
      </c>
      <c r="X84" s="4">
        <v>0.15916666666666665</v>
      </c>
      <c r="Y84" s="4">
        <f t="shared" si="16"/>
        <v>-0.12129166666666666</v>
      </c>
      <c r="Z84" s="4">
        <f t="shared" si="15"/>
        <v>0.49717809723071171</v>
      </c>
      <c r="AA84" s="37">
        <f t="shared" si="5"/>
        <v>1.3282751471537555</v>
      </c>
      <c r="AB84" s="35"/>
      <c r="AC84" s="205">
        <f t="shared" si="6"/>
        <v>6.9166666666666668E-2</v>
      </c>
      <c r="AD84" s="205">
        <f t="shared" si="7"/>
        <v>0.12</v>
      </c>
      <c r="AE84" s="202">
        <f>G84</f>
        <v>0.1525</v>
      </c>
      <c r="AF84" s="15">
        <f t="shared" si="12"/>
        <v>-0.17749999999999999</v>
      </c>
      <c r="AG84" s="15">
        <f t="shared" si="13"/>
        <v>-0.14333333333333334</v>
      </c>
      <c r="AH84" s="15">
        <f>M84</f>
        <v>-0.13583333333333333</v>
      </c>
      <c r="AI84" s="200">
        <f t="shared" si="8"/>
        <v>-8.3138888888888901E-2</v>
      </c>
      <c r="AK84" s="37">
        <f>AA84-AI84</f>
        <v>1.4114140360426444</v>
      </c>
      <c r="AM84" s="106">
        <f>($G$14*AA84)-($G$15*AI84)</f>
        <v>212.53953056187311</v>
      </c>
    </row>
    <row r="85" spans="1:39" x14ac:dyDescent="0.2">
      <c r="A85" s="24">
        <v>43343</v>
      </c>
      <c r="B85" s="4"/>
      <c r="C85" s="25">
        <v>5.7591666666666701E-2</v>
      </c>
      <c r="D85" s="4"/>
      <c r="E85" s="15">
        <v>6.8333333333333329E-2</v>
      </c>
      <c r="F85" s="4">
        <v>0.11749999999999999</v>
      </c>
      <c r="G85" s="4">
        <v>0.1525</v>
      </c>
      <c r="H85" s="15">
        <v>0.63164197778067255</v>
      </c>
      <c r="I85" s="15">
        <v>0.19739748823834891</v>
      </c>
      <c r="J85" s="4">
        <f t="shared" si="14"/>
        <v>-1.8473326998365402</v>
      </c>
      <c r="K85" s="15">
        <v>-0.18333333333333335</v>
      </c>
      <c r="L85" s="4">
        <v>-0.14416666666666667</v>
      </c>
      <c r="M85" s="16">
        <v>-0.13250000000000001</v>
      </c>
      <c r="N85" s="4"/>
      <c r="O85" s="22">
        <v>-3.4486836790000002</v>
      </c>
      <c r="P85" s="22">
        <v>2.0733756990000001</v>
      </c>
      <c r="Q85" s="22">
        <v>0.73143147100000006</v>
      </c>
      <c r="R85" s="16">
        <f t="shared" si="9"/>
        <v>1.4378591322013929</v>
      </c>
      <c r="S85" s="4"/>
      <c r="T85" s="22">
        <v>-2.0844435790000002</v>
      </c>
      <c r="U85" s="4">
        <f t="shared" si="10"/>
        <v>-1.7397887685665905</v>
      </c>
      <c r="V85" s="22">
        <v>0.27173572800000001</v>
      </c>
      <c r="W85" s="4">
        <f t="shared" si="11"/>
        <v>0.34108253517947573</v>
      </c>
      <c r="X85" s="4">
        <v>0.15916666666666665</v>
      </c>
      <c r="Y85" s="4">
        <f t="shared" si="16"/>
        <v>-0.10157499999999994</v>
      </c>
      <c r="Z85" s="4">
        <f t="shared" si="15"/>
        <v>0.23950753517947579</v>
      </c>
      <c r="AA85" s="37">
        <f t="shared" si="5"/>
        <v>1.3361896540353232E-2</v>
      </c>
      <c r="AB85" s="35"/>
      <c r="AC85" s="205">
        <f t="shared" si="6"/>
        <v>6.8333333333333329E-2</v>
      </c>
      <c r="AD85" s="205">
        <f t="shared" si="7"/>
        <v>0.11749999999999999</v>
      </c>
      <c r="AE85" s="202">
        <f>G85</f>
        <v>0.1525</v>
      </c>
      <c r="AF85" s="15">
        <f t="shared" si="12"/>
        <v>-0.18333333333333335</v>
      </c>
      <c r="AG85" s="15">
        <f t="shared" si="13"/>
        <v>-0.14416666666666667</v>
      </c>
      <c r="AH85" s="15">
        <f>M85</f>
        <v>-0.13250000000000001</v>
      </c>
      <c r="AI85" s="200">
        <f t="shared" si="8"/>
        <v>-8.4027777777777785E-2</v>
      </c>
      <c r="AK85" s="37">
        <f>AA85-AI85</f>
        <v>9.7389674318131017E-2</v>
      </c>
      <c r="AM85" s="106">
        <f>($G$14*AA85)-($G$15*AI85)</f>
        <v>14.680151260951995</v>
      </c>
    </row>
    <row r="86" spans="1:39" x14ac:dyDescent="0.2">
      <c r="A86" s="24">
        <v>43373</v>
      </c>
      <c r="B86" s="4"/>
      <c r="C86" s="25">
        <v>5.8433333333333302E-2</v>
      </c>
      <c r="D86" s="4"/>
      <c r="E86" s="15">
        <v>7.8333333333333324E-2</v>
      </c>
      <c r="F86" s="4">
        <v>0.13083333333333333</v>
      </c>
      <c r="G86" s="4">
        <v>0.16416666666666666</v>
      </c>
      <c r="H86" s="15">
        <v>-1.1011758652192505</v>
      </c>
      <c r="I86" s="15">
        <v>0.27039545245036711</v>
      </c>
      <c r="J86" s="4">
        <f t="shared" si="14"/>
        <v>0.37989239876839442</v>
      </c>
      <c r="K86" s="15">
        <v>-0.19583333333333333</v>
      </c>
      <c r="L86" s="4">
        <v>-0.14166666666666666</v>
      </c>
      <c r="M86" s="16">
        <v>-0.12916666666666668</v>
      </c>
      <c r="N86" s="4"/>
      <c r="O86" s="22">
        <v>1.3419869010000001</v>
      </c>
      <c r="P86" s="22">
        <v>0.489316684</v>
      </c>
      <c r="Q86" s="22">
        <v>1.022235451</v>
      </c>
      <c r="R86" s="16">
        <f t="shared" si="9"/>
        <v>1.1053601872402787</v>
      </c>
      <c r="S86" s="4"/>
      <c r="T86" s="22">
        <v>-2.4785286320000002</v>
      </c>
      <c r="U86" s="4">
        <f t="shared" si="10"/>
        <v>-2.3307806593133185</v>
      </c>
      <c r="V86" s="22">
        <v>-7.2808558999999995E-2</v>
      </c>
      <c r="W86" s="4">
        <f t="shared" si="11"/>
        <v>9.9696598358951435E-3</v>
      </c>
      <c r="X86" s="4">
        <v>0.16250000000000001</v>
      </c>
      <c r="Y86" s="4">
        <f t="shared" si="16"/>
        <v>-0.1040666666666667</v>
      </c>
      <c r="Z86" s="4">
        <f t="shared" si="15"/>
        <v>-9.4097006830771546E-2</v>
      </c>
      <c r="AA86" s="37">
        <f t="shared" si="5"/>
        <v>4.5162099813618559E-2</v>
      </c>
      <c r="AB86" s="35"/>
      <c r="AC86" s="205">
        <f t="shared" si="6"/>
        <v>7.8333333333333324E-2</v>
      </c>
      <c r="AD86" s="205">
        <f t="shared" si="7"/>
        <v>0.13083333333333333</v>
      </c>
      <c r="AE86" s="202">
        <f>G86</f>
        <v>0.16416666666666666</v>
      </c>
      <c r="AF86" s="15">
        <f t="shared" si="12"/>
        <v>-0.19583333333333333</v>
      </c>
      <c r="AG86" s="15">
        <f t="shared" si="13"/>
        <v>-0.14166666666666666</v>
      </c>
      <c r="AH86" s="15">
        <f>M86</f>
        <v>-0.12916666666666668</v>
      </c>
      <c r="AI86" s="200">
        <f t="shared" si="8"/>
        <v>-8.1972222222222238E-2</v>
      </c>
      <c r="AK86" s="37">
        <f>AA86-AI86</f>
        <v>0.1271343220358408</v>
      </c>
      <c r="AM86" s="106">
        <f>($G$14*AA86)-($G$15*AI86)</f>
        <v>19.158575491041432</v>
      </c>
    </row>
    <row r="87" spans="1:39" x14ac:dyDescent="0.2">
      <c r="A87" s="24">
        <v>43404</v>
      </c>
      <c r="B87" s="4"/>
      <c r="C87" s="25">
        <v>5.8424999999999998E-2</v>
      </c>
      <c r="D87" s="4"/>
      <c r="E87" s="15">
        <v>6.8333333333333329E-2</v>
      </c>
      <c r="F87" s="4">
        <v>0.11916666666666666</v>
      </c>
      <c r="G87" s="4">
        <v>0.15916666666666665</v>
      </c>
      <c r="H87" s="15">
        <v>0.29058104410678576</v>
      </c>
      <c r="I87" s="15">
        <v>-1.6933105488255773</v>
      </c>
      <c r="J87" s="4">
        <f t="shared" si="14"/>
        <v>-4.6388695507394937</v>
      </c>
      <c r="K87" s="15">
        <v>-0.18333333333333335</v>
      </c>
      <c r="L87" s="4">
        <v>-0.1525</v>
      </c>
      <c r="M87" s="16">
        <v>-0.13916666666666666</v>
      </c>
      <c r="N87" s="4"/>
      <c r="O87" s="22">
        <v>-4.8981123249999996</v>
      </c>
      <c r="P87" s="22">
        <v>-5.4564662979999996</v>
      </c>
      <c r="Q87" s="22">
        <v>-7.2074142200000004</v>
      </c>
      <c r="R87" s="16">
        <f t="shared" si="9"/>
        <v>-5.5448593385519453</v>
      </c>
      <c r="S87" s="4"/>
      <c r="T87" s="22">
        <v>-1.8797895309999999</v>
      </c>
      <c r="U87" s="4">
        <f t="shared" si="10"/>
        <v>-1.9699877566626638</v>
      </c>
      <c r="V87" s="22">
        <v>-2.8023246980000001</v>
      </c>
      <c r="W87" s="4">
        <f t="shared" si="11"/>
        <v>-2.2398658264328208</v>
      </c>
      <c r="X87" s="4">
        <v>0.1825</v>
      </c>
      <c r="Y87" s="4">
        <f t="shared" si="16"/>
        <v>-0.12407499999999999</v>
      </c>
      <c r="Z87" s="4">
        <f t="shared" si="15"/>
        <v>-2.3639408264328208</v>
      </c>
      <c r="AA87" s="37">
        <f t="shared" si="5"/>
        <v>-2.5280472836281653</v>
      </c>
      <c r="AB87" s="35"/>
      <c r="AC87" s="205">
        <f t="shared" si="6"/>
        <v>6.8333333333333329E-2</v>
      </c>
      <c r="AD87" s="205">
        <f t="shared" si="7"/>
        <v>0.11916666666666666</v>
      </c>
      <c r="AE87" s="202">
        <f>G87</f>
        <v>0.15916666666666665</v>
      </c>
      <c r="AF87" s="15">
        <f t="shared" ref="AF87:AF118" si="17">K87</f>
        <v>-0.18333333333333335</v>
      </c>
      <c r="AG87" s="15">
        <f t="shared" ref="AG87:AG118" si="18">L87</f>
        <v>-0.1525</v>
      </c>
      <c r="AH87" s="15">
        <f>M87</f>
        <v>-0.13916666666666666</v>
      </c>
      <c r="AI87" s="200">
        <f t="shared" si="8"/>
        <v>-8.7472222222222229E-2</v>
      </c>
      <c r="AK87" s="37">
        <f>AA87-AI87</f>
        <v>-2.4405750614059429</v>
      </c>
      <c r="AM87" s="106">
        <f>($G$14*AA87)-($G$15*AI87)</f>
        <v>-367.47387753497969</v>
      </c>
    </row>
    <row r="88" spans="1:39" x14ac:dyDescent="0.2">
      <c r="A88" s="24">
        <v>43434</v>
      </c>
      <c r="B88" s="4"/>
      <c r="C88" s="25">
        <v>5.8474999999999999E-2</v>
      </c>
      <c r="D88" s="4"/>
      <c r="E88" s="15">
        <v>6.5833333333333341E-2</v>
      </c>
      <c r="F88" s="4">
        <v>0.11416666666666668</v>
      </c>
      <c r="G88" s="4">
        <v>0.17416666666666666</v>
      </c>
      <c r="H88" s="15">
        <v>-2.1070181150175116</v>
      </c>
      <c r="I88" s="15">
        <v>-1.0701033681443928</v>
      </c>
      <c r="J88" s="4">
        <f t="shared" ref="J88:J119" si="19">(I88-$D$14*I87)/(1-$D$14)</f>
        <v>-0.13529259712261599</v>
      </c>
      <c r="K88" s="15">
        <v>-0.19499999999999998</v>
      </c>
      <c r="L88" s="4">
        <v>-0.16250000000000001</v>
      </c>
      <c r="M88" s="16">
        <v>-0.13</v>
      </c>
      <c r="N88" s="4"/>
      <c r="O88" s="22">
        <v>-1.843137544</v>
      </c>
      <c r="P88" s="22">
        <v>0.50579764100000002</v>
      </c>
      <c r="Q88" s="22">
        <v>-0.739964646</v>
      </c>
      <c r="R88" s="16">
        <f t="shared" si="9"/>
        <v>-1.7009435845103891</v>
      </c>
      <c r="S88" s="4"/>
      <c r="T88" s="22">
        <v>-4.274742432</v>
      </c>
      <c r="U88" s="4">
        <f t="shared" si="10"/>
        <v>-3.8137914969325331</v>
      </c>
      <c r="V88" s="22">
        <v>0.282746938</v>
      </c>
      <c r="W88" s="4">
        <f t="shared" si="11"/>
        <v>-0.22177561488656417</v>
      </c>
      <c r="X88" s="4">
        <v>0.18333333333333335</v>
      </c>
      <c r="Y88" s="4">
        <f t="shared" si="16"/>
        <v>-0.12485833333333335</v>
      </c>
      <c r="Z88" s="4">
        <f t="shared" si="15"/>
        <v>-0.34663394821989751</v>
      </c>
      <c r="AA88" s="37">
        <f t="shared" ref="AA88:AA151" si="20">$C$21*C88+SUMPRODUCT($E$21:$H$21,E88:H88)+$I$21*J88+SUMPRODUCT($K$21:$M$21,K88:M88)+SUMPRODUCT($O$21:$P$21,O88:P88)+$Q$21*R88+$T$21*U88+$V$21*Z88</f>
        <v>-0.85098504001589137</v>
      </c>
      <c r="AB88" s="35"/>
      <c r="AC88" s="205">
        <f t="shared" ref="AC88:AC151" si="21">E88</f>
        <v>6.5833333333333341E-2</v>
      </c>
      <c r="AD88" s="205">
        <f t="shared" ref="AD88:AD151" si="22">F88</f>
        <v>0.11416666666666668</v>
      </c>
      <c r="AE88" s="202">
        <f>G88</f>
        <v>0.17416666666666666</v>
      </c>
      <c r="AF88" s="15">
        <f t="shared" si="17"/>
        <v>-0.19499999999999998</v>
      </c>
      <c r="AG88" s="15">
        <f t="shared" si="18"/>
        <v>-0.16250000000000001</v>
      </c>
      <c r="AH88" s="15">
        <f>M88</f>
        <v>-0.13</v>
      </c>
      <c r="AI88" s="200">
        <f t="shared" ref="AI88:AI151" si="23">SUMPRODUCT($AC$21:$AH$21,AC88:AH88)</f>
        <v>-8.9930555555555569E-2</v>
      </c>
      <c r="AK88" s="37">
        <f>AA88-AI88</f>
        <v>-0.76105448446033575</v>
      </c>
      <c r="AM88" s="106">
        <f>($G$14*AA88)-($G$15*AI88)</f>
        <v>-114.57919022592796</v>
      </c>
    </row>
    <row r="89" spans="1:39" x14ac:dyDescent="0.2">
      <c r="A89" s="24">
        <v>43465</v>
      </c>
      <c r="B89" s="4"/>
      <c r="C89" s="25">
        <v>5.8549999999999998E-2</v>
      </c>
      <c r="D89" s="4"/>
      <c r="E89" s="15">
        <v>6.4166666666666664E-2</v>
      </c>
      <c r="F89" s="4">
        <v>0.10916666666666668</v>
      </c>
      <c r="G89" s="4">
        <v>0.15583333333333335</v>
      </c>
      <c r="H89" s="15">
        <v>1.4384825413796376</v>
      </c>
      <c r="I89" s="15">
        <v>-1.4043307996750909</v>
      </c>
      <c r="J89" s="4">
        <f t="shared" si="19"/>
        <v>-1.9056719469711381</v>
      </c>
      <c r="K89" s="15">
        <v>-0.20666666666666667</v>
      </c>
      <c r="L89" s="4">
        <v>-0.16583333333333333</v>
      </c>
      <c r="M89" s="16">
        <v>-0.14249999999999999</v>
      </c>
      <c r="N89" s="4"/>
      <c r="O89" s="22">
        <v>-3.365050879</v>
      </c>
      <c r="P89" s="22">
        <v>-6.9383628899999996</v>
      </c>
      <c r="Q89" s="22">
        <v>-8.4156066809999999</v>
      </c>
      <c r="R89" s="16">
        <f t="shared" ref="R89:R152" si="24">$D$15*R88+(1-$D$15)*Q89</f>
        <v>-7.0726740617020782</v>
      </c>
      <c r="S89" s="4"/>
      <c r="T89" s="22">
        <v>-3.270646245</v>
      </c>
      <c r="U89" s="4">
        <f t="shared" ref="U89:U152" si="25">$D$16*U88+(1-$D$16)*T89</f>
        <v>-3.3792752953865066</v>
      </c>
      <c r="V89" s="22">
        <v>-1.7209921640000001</v>
      </c>
      <c r="W89" s="4">
        <f t="shared" ref="W89:W152" si="26">$D$17*W88+(1-$D$17)*V89</f>
        <v>-1.4211488541773132</v>
      </c>
      <c r="X89" s="4">
        <v>0.18916666666666668</v>
      </c>
      <c r="Y89" s="4">
        <f t="shared" si="16"/>
        <v>-0.13061666666666669</v>
      </c>
      <c r="Z89" s="4">
        <f t="shared" si="15"/>
        <v>-1.5517655208439798</v>
      </c>
      <c r="AA89" s="37">
        <f t="shared" si="20"/>
        <v>-2.5046976641667626</v>
      </c>
      <c r="AB89" s="35"/>
      <c r="AC89" s="205">
        <f t="shared" si="21"/>
        <v>6.4166666666666664E-2</v>
      </c>
      <c r="AD89" s="205">
        <f t="shared" si="22"/>
        <v>0.10916666666666668</v>
      </c>
      <c r="AE89" s="202">
        <f>G89</f>
        <v>0.15583333333333335</v>
      </c>
      <c r="AF89" s="15">
        <f t="shared" si="17"/>
        <v>-0.20666666666666667</v>
      </c>
      <c r="AG89" s="15">
        <f t="shared" si="18"/>
        <v>-0.16583333333333333</v>
      </c>
      <c r="AH89" s="15">
        <f>M89</f>
        <v>-0.14249999999999999</v>
      </c>
      <c r="AI89" s="200">
        <f t="shared" si="23"/>
        <v>-9.852777777777777E-2</v>
      </c>
      <c r="AK89" s="37">
        <f>AA89-AI89</f>
        <v>-2.4061698863889847</v>
      </c>
      <c r="AM89" s="106">
        <f>($G$14*AA89)-($G$15*AI89)</f>
        <v>-362.29124714465155</v>
      </c>
    </row>
    <row r="90" spans="1:39" x14ac:dyDescent="0.2">
      <c r="A90" s="24">
        <v>43708</v>
      </c>
      <c r="B90" s="4"/>
      <c r="C90" s="25">
        <v>5.9174999999999998E-2</v>
      </c>
      <c r="D90" s="4"/>
      <c r="E90" s="15">
        <v>2.8333333333333335E-2</v>
      </c>
      <c r="F90" s="4">
        <v>3.6666666666666667E-2</v>
      </c>
      <c r="G90" s="4">
        <v>8.4166666666666667E-2</v>
      </c>
      <c r="H90" s="15">
        <v>1.099244979088132</v>
      </c>
      <c r="I90" s="15">
        <v>0.54041365270082187</v>
      </c>
      <c r="J90" s="4">
        <f t="shared" si="19"/>
        <v>3.457530331264691</v>
      </c>
      <c r="K90" s="15">
        <v>-0.26333333333333336</v>
      </c>
      <c r="L90" s="4">
        <v>-0.24583333333333335</v>
      </c>
      <c r="M90" s="16">
        <v>-0.20583333333333334</v>
      </c>
      <c r="N90" s="4"/>
      <c r="O90" s="22">
        <v>-4.3511535309999996</v>
      </c>
      <c r="P90" s="22">
        <v>-2.6718337829999999</v>
      </c>
      <c r="Q90" s="22">
        <v>-0.38668976999999999</v>
      </c>
      <c r="R90" s="16">
        <f t="shared" si="24"/>
        <v>-1.7238866283404157</v>
      </c>
      <c r="S90" s="4"/>
      <c r="T90" s="22">
        <v>2.0281253719999999</v>
      </c>
      <c r="U90" s="4">
        <f t="shared" si="25"/>
        <v>0.94664523852269866</v>
      </c>
      <c r="V90" s="22">
        <v>-0.29536463000000002</v>
      </c>
      <c r="W90" s="4">
        <f t="shared" si="26"/>
        <v>-0.52052147483546263</v>
      </c>
      <c r="X90" s="4">
        <v>0.17749999999999999</v>
      </c>
      <c r="Y90" s="4">
        <f t="shared" si="16"/>
        <v>-0.11832499999999999</v>
      </c>
      <c r="Z90" s="4">
        <f t="shared" si="15"/>
        <v>-0.63884647483546264</v>
      </c>
      <c r="AA90" s="37">
        <f t="shared" si="20"/>
        <v>-1.2793531068196276</v>
      </c>
      <c r="AB90" s="35"/>
      <c r="AC90" s="205">
        <f t="shared" si="21"/>
        <v>2.8333333333333335E-2</v>
      </c>
      <c r="AD90" s="205">
        <f t="shared" si="22"/>
        <v>3.6666666666666667E-2</v>
      </c>
      <c r="AE90" s="202">
        <f>G90</f>
        <v>8.4166666666666667E-2</v>
      </c>
      <c r="AF90" s="15">
        <f t="shared" si="17"/>
        <v>-0.26333333333333336</v>
      </c>
      <c r="AG90" s="15">
        <f t="shared" si="18"/>
        <v>-0.24583333333333335</v>
      </c>
      <c r="AH90" s="15">
        <f>M90</f>
        <v>-0.20583333333333334</v>
      </c>
      <c r="AI90" s="200">
        <f t="shared" si="23"/>
        <v>-0.16530555555555557</v>
      </c>
      <c r="AK90" s="37">
        <f>AA90-AI90</f>
        <v>-1.114047551264072</v>
      </c>
      <c r="AM90" s="106">
        <f>($G$14*AA90)-($G$15*AI90)</f>
        <v>-167.71714656912113</v>
      </c>
    </row>
    <row r="91" spans="1:39" x14ac:dyDescent="0.2">
      <c r="A91" s="24">
        <v>43738</v>
      </c>
      <c r="B91" s="4"/>
      <c r="C91" s="25">
        <v>5.9150000000000001E-2</v>
      </c>
      <c r="D91" s="4"/>
      <c r="E91" s="15">
        <v>2.3333333333333334E-2</v>
      </c>
      <c r="F91" s="4">
        <v>3.8333333333333337E-2</v>
      </c>
      <c r="G91" s="4">
        <v>8.1666666666666665E-2</v>
      </c>
      <c r="H91" s="15">
        <v>2.475666348332739E-2</v>
      </c>
      <c r="I91" s="15">
        <v>-6.9943022593499382E-2</v>
      </c>
      <c r="J91" s="4">
        <f t="shared" si="19"/>
        <v>-0.98547803553498126</v>
      </c>
      <c r="K91" s="15">
        <v>-0.27416666666666667</v>
      </c>
      <c r="L91" s="4">
        <v>-0.24833333333333332</v>
      </c>
      <c r="M91" s="16">
        <v>-0.20666666666666667</v>
      </c>
      <c r="N91" s="4"/>
      <c r="O91" s="22">
        <v>3.388010934</v>
      </c>
      <c r="P91" s="22">
        <v>1.670638501</v>
      </c>
      <c r="Q91" s="22">
        <v>2.1862839310000002</v>
      </c>
      <c r="R91" s="16">
        <f t="shared" si="24"/>
        <v>1.404249819131917</v>
      </c>
      <c r="S91" s="4"/>
      <c r="T91" s="22">
        <v>6.6761071459999997</v>
      </c>
      <c r="U91" s="4">
        <f t="shared" si="25"/>
        <v>5.5302147645045396</v>
      </c>
      <c r="V91" s="22">
        <v>0.418200813</v>
      </c>
      <c r="W91" s="4">
        <f t="shared" si="26"/>
        <v>0.23045635543290752</v>
      </c>
      <c r="X91" s="4">
        <v>0.17</v>
      </c>
      <c r="Y91" s="4">
        <f t="shared" si="16"/>
        <v>-0.11085</v>
      </c>
      <c r="Z91" s="4">
        <f t="shared" si="15"/>
        <v>0.11960635543290751</v>
      </c>
      <c r="AA91" s="37">
        <f t="shared" si="20"/>
        <v>1.3201728926043841</v>
      </c>
      <c r="AB91" s="35"/>
      <c r="AC91" s="205">
        <f t="shared" si="21"/>
        <v>2.3333333333333334E-2</v>
      </c>
      <c r="AD91" s="205">
        <f t="shared" si="22"/>
        <v>3.8333333333333337E-2</v>
      </c>
      <c r="AE91" s="202">
        <f>G91</f>
        <v>8.1666666666666665E-2</v>
      </c>
      <c r="AF91" s="15">
        <f t="shared" si="17"/>
        <v>-0.27416666666666667</v>
      </c>
      <c r="AG91" s="15">
        <f t="shared" si="18"/>
        <v>-0.24833333333333332</v>
      </c>
      <c r="AH91" s="15">
        <f>M91</f>
        <v>-0.20666666666666667</v>
      </c>
      <c r="AI91" s="200">
        <f t="shared" si="23"/>
        <v>-0.16880555555555557</v>
      </c>
      <c r="AK91" s="37">
        <f>AA91-AI91</f>
        <v>1.4889784481599397</v>
      </c>
      <c r="AM91" s="106">
        <f>($G$14*AA91)-($G$15*AI91)</f>
        <v>224.23479379812937</v>
      </c>
    </row>
    <row r="92" spans="1:39" x14ac:dyDescent="0.2">
      <c r="A92" s="24">
        <v>43769</v>
      </c>
      <c r="B92" s="4"/>
      <c r="C92" s="25">
        <v>5.9233333333333298E-2</v>
      </c>
      <c r="D92" s="4"/>
      <c r="E92" s="15">
        <v>3.4999999999999996E-2</v>
      </c>
      <c r="F92" s="4">
        <v>4.9999999999999996E-2</v>
      </c>
      <c r="G92" s="4">
        <v>9.4999999999999987E-2</v>
      </c>
      <c r="H92" s="15">
        <v>-0.21292051070870288</v>
      </c>
      <c r="I92" s="15">
        <v>0.10415197912077012</v>
      </c>
      <c r="J92" s="4">
        <f t="shared" si="19"/>
        <v>0.36529448169217438</v>
      </c>
      <c r="K92" s="15">
        <v>-0.21916666666666665</v>
      </c>
      <c r="L92" s="4">
        <v>-0.21083333333333332</v>
      </c>
      <c r="M92" s="16">
        <v>-0.17916666666666667</v>
      </c>
      <c r="N92" s="4"/>
      <c r="O92" s="22">
        <v>-1.703490019</v>
      </c>
      <c r="P92" s="22">
        <v>-2.730673527</v>
      </c>
      <c r="Q92" s="22">
        <v>-3.0795713739999999</v>
      </c>
      <c r="R92" s="16">
        <f t="shared" si="24"/>
        <v>-2.1828071353736167</v>
      </c>
      <c r="S92" s="4"/>
      <c r="T92" s="22">
        <v>5.4128948130000003</v>
      </c>
      <c r="U92" s="4">
        <f t="shared" si="25"/>
        <v>5.4363588033009087</v>
      </c>
      <c r="V92" s="22">
        <v>0.94294281099999999</v>
      </c>
      <c r="W92" s="4">
        <f t="shared" si="26"/>
        <v>0.80044551988658152</v>
      </c>
      <c r="X92" s="4">
        <v>0.1525</v>
      </c>
      <c r="Y92" s="4">
        <f t="shared" si="16"/>
        <v>-9.3266666666666692E-2</v>
      </c>
      <c r="Z92" s="4">
        <f t="shared" si="15"/>
        <v>0.7071788532199148</v>
      </c>
      <c r="AA92" s="37">
        <f t="shared" si="20"/>
        <v>-0.83998798555617005</v>
      </c>
      <c r="AB92" s="35"/>
      <c r="AC92" s="205">
        <f t="shared" si="21"/>
        <v>3.4999999999999996E-2</v>
      </c>
      <c r="AD92" s="205">
        <f t="shared" si="22"/>
        <v>4.9999999999999996E-2</v>
      </c>
      <c r="AE92" s="202">
        <f>G92</f>
        <v>9.4999999999999987E-2</v>
      </c>
      <c r="AF92" s="15">
        <f t="shared" si="17"/>
        <v>-0.21916666666666665</v>
      </c>
      <c r="AG92" s="15">
        <f t="shared" si="18"/>
        <v>-0.21083333333333332</v>
      </c>
      <c r="AH92" s="15">
        <f>M92</f>
        <v>-0.17916666666666667</v>
      </c>
      <c r="AI92" s="200">
        <f t="shared" si="23"/>
        <v>-0.136625</v>
      </c>
      <c r="AK92" s="37">
        <f>AA92-AI92</f>
        <v>-0.70336298555617005</v>
      </c>
      <c r="AM92" s="106">
        <f>($G$14*AA92)-($G$15*AI92)</f>
        <v>-105.88356677723115</v>
      </c>
    </row>
    <row r="93" spans="1:39" x14ac:dyDescent="0.2">
      <c r="A93" s="24">
        <v>43799</v>
      </c>
      <c r="B93" s="4"/>
      <c r="C93" s="25">
        <v>5.92083333333333E-2</v>
      </c>
      <c r="D93" s="4"/>
      <c r="E93" s="15">
        <v>4.1666666666666664E-2</v>
      </c>
      <c r="F93" s="4">
        <v>5.6666666666666671E-2</v>
      </c>
      <c r="G93" s="4">
        <v>0.10083333333333333</v>
      </c>
      <c r="H93" s="15">
        <v>-0.15656717075422932</v>
      </c>
      <c r="I93" s="15">
        <v>0.70032982821167655</v>
      </c>
      <c r="J93" s="4">
        <f t="shared" si="19"/>
        <v>1.5945966018480362</v>
      </c>
      <c r="K93" s="15">
        <v>-0.20333333333333334</v>
      </c>
      <c r="L93" s="4">
        <v>-0.20583333333333334</v>
      </c>
      <c r="M93" s="16">
        <v>-0.17333333333333334</v>
      </c>
      <c r="N93" s="4"/>
      <c r="O93" s="22">
        <v>1.7541340839999999</v>
      </c>
      <c r="P93" s="22">
        <v>3.1671280089999998</v>
      </c>
      <c r="Q93" s="22">
        <v>4.0006697390000001</v>
      </c>
      <c r="R93" s="16">
        <f t="shared" si="24"/>
        <v>2.7639743641252768</v>
      </c>
      <c r="S93" s="4"/>
      <c r="T93" s="22">
        <v>2.2053070639999999</v>
      </c>
      <c r="U93" s="4">
        <f t="shared" si="25"/>
        <v>2.8515174118601818</v>
      </c>
      <c r="V93" s="22">
        <v>0.487515592</v>
      </c>
      <c r="W93" s="4">
        <f t="shared" si="26"/>
        <v>0.55010157757731637</v>
      </c>
      <c r="X93" s="4">
        <v>0.12916666666666668</v>
      </c>
      <c r="Y93" s="4">
        <f t="shared" si="16"/>
        <v>-6.9958333333333372E-2</v>
      </c>
      <c r="Z93" s="4">
        <f t="shared" si="15"/>
        <v>0.48014324424398303</v>
      </c>
      <c r="AA93" s="37">
        <f t="shared" si="20"/>
        <v>1.3072997744824202</v>
      </c>
      <c r="AB93" s="35"/>
      <c r="AC93" s="205">
        <f t="shared" si="21"/>
        <v>4.1666666666666664E-2</v>
      </c>
      <c r="AD93" s="205">
        <f t="shared" si="22"/>
        <v>5.6666666666666671E-2</v>
      </c>
      <c r="AE93" s="202">
        <f>G93</f>
        <v>0.10083333333333333</v>
      </c>
      <c r="AF93" s="15">
        <f t="shared" si="17"/>
        <v>-0.20333333333333334</v>
      </c>
      <c r="AG93" s="15">
        <f t="shared" si="18"/>
        <v>-0.20583333333333334</v>
      </c>
      <c r="AH93" s="15">
        <f>M93</f>
        <v>-0.17333333333333334</v>
      </c>
      <c r="AI93" s="200">
        <f t="shared" si="23"/>
        <v>-0.12890277777777781</v>
      </c>
      <c r="AK93" s="37">
        <f>AA93-AI93</f>
        <v>1.436202552260198</v>
      </c>
      <c r="AM93" s="106">
        <f>($G$14*AA93)-($G$15*AI93)</f>
        <v>216.28060559660062</v>
      </c>
    </row>
    <row r="94" spans="1:39" x14ac:dyDescent="0.2">
      <c r="A94" s="24">
        <v>43830</v>
      </c>
      <c r="B94" s="4"/>
      <c r="C94" s="25">
        <v>5.9174999999999998E-2</v>
      </c>
      <c r="D94" s="4"/>
      <c r="E94" s="15">
        <v>4.4166666666666667E-2</v>
      </c>
      <c r="F94" s="4">
        <v>6.8333333333333329E-2</v>
      </c>
      <c r="G94" s="4">
        <v>0.11166666666666668</v>
      </c>
      <c r="H94" s="15">
        <v>-1.5032510215795547E-2</v>
      </c>
      <c r="I94" s="15">
        <v>1.3420566156418068</v>
      </c>
      <c r="J94" s="4">
        <f t="shared" si="19"/>
        <v>2.3046467967870021</v>
      </c>
      <c r="K94" s="15">
        <v>-0.20333333333333334</v>
      </c>
      <c r="L94" s="4">
        <v>-0.19916666666666669</v>
      </c>
      <c r="M94" s="16">
        <v>-0.16833333333333333</v>
      </c>
      <c r="N94" s="4"/>
      <c r="O94" s="22">
        <v>2.4267474390000001</v>
      </c>
      <c r="P94" s="22">
        <v>0.46005553500000002</v>
      </c>
      <c r="Q94" s="22">
        <v>0.97985823000000005</v>
      </c>
      <c r="R94" s="16">
        <f t="shared" si="24"/>
        <v>1.3366814568250556</v>
      </c>
      <c r="S94" s="4"/>
      <c r="T94" s="22">
        <v>4.4702012340000001</v>
      </c>
      <c r="U94" s="4">
        <f t="shared" si="25"/>
        <v>4.1464644695720363</v>
      </c>
      <c r="V94" s="22">
        <v>1.7364482640000001</v>
      </c>
      <c r="W94" s="4">
        <f t="shared" si="26"/>
        <v>1.4991789267154634</v>
      </c>
      <c r="X94" s="4">
        <v>0.12916666666666668</v>
      </c>
      <c r="Y94" s="4">
        <f t="shared" si="16"/>
        <v>-6.9991666666666674E-2</v>
      </c>
      <c r="Z94" s="4">
        <f t="shared" si="15"/>
        <v>1.4291872600487967</v>
      </c>
      <c r="AA94" s="37">
        <f t="shared" si="20"/>
        <v>0.79930043255834871</v>
      </c>
      <c r="AB94" s="35"/>
      <c r="AC94" s="205">
        <f t="shared" si="21"/>
        <v>4.4166666666666667E-2</v>
      </c>
      <c r="AD94" s="205">
        <f t="shared" si="22"/>
        <v>6.8333333333333329E-2</v>
      </c>
      <c r="AE94" s="202">
        <f>G94</f>
        <v>0.11166666666666668</v>
      </c>
      <c r="AF94" s="15">
        <f t="shared" si="17"/>
        <v>-0.20333333333333334</v>
      </c>
      <c r="AG94" s="15">
        <f t="shared" si="18"/>
        <v>-0.19916666666666669</v>
      </c>
      <c r="AH94" s="15">
        <f>M94</f>
        <v>-0.16833333333333333</v>
      </c>
      <c r="AI94" s="200">
        <f t="shared" si="23"/>
        <v>-0.12341666666666667</v>
      </c>
      <c r="AK94" s="37">
        <f>AA94-AI94</f>
        <v>0.92271709922501532</v>
      </c>
      <c r="AM94" s="106">
        <f>($G$14*AA94)-($G$15*AI94)</f>
        <v>138.96138224493586</v>
      </c>
    </row>
    <row r="95" spans="1:39" x14ac:dyDescent="0.2">
      <c r="A95" s="24">
        <v>43861</v>
      </c>
      <c r="B95" s="4"/>
      <c r="C95" s="25">
        <v>5.9275000000000001E-2</v>
      </c>
      <c r="D95" s="4"/>
      <c r="E95" s="15">
        <v>3.4166666666666665E-2</v>
      </c>
      <c r="F95" s="4">
        <v>4.4166666666666667E-2</v>
      </c>
      <c r="G95" s="4">
        <v>8.5833333333333331E-2</v>
      </c>
      <c r="H95" s="15">
        <v>3.1376303567427266</v>
      </c>
      <c r="I95" s="15">
        <v>-0.40229331999849238</v>
      </c>
      <c r="J95" s="4">
        <f t="shared" si="19"/>
        <v>-3.0188182234589411</v>
      </c>
      <c r="K95" s="15">
        <v>-0.21249999999999999</v>
      </c>
      <c r="L95" s="4">
        <v>-0.21583333333333332</v>
      </c>
      <c r="M95" s="16">
        <v>-0.18416666666666667</v>
      </c>
      <c r="N95" s="4"/>
      <c r="O95" s="22">
        <v>-3.4203742510000001</v>
      </c>
      <c r="P95" s="22">
        <v>-6.5507040000000001E-3</v>
      </c>
      <c r="Q95" s="22">
        <v>2.1042387790000001</v>
      </c>
      <c r="R95" s="16">
        <f t="shared" si="24"/>
        <v>1.9507273145650115</v>
      </c>
      <c r="S95" s="4"/>
      <c r="T95" s="22">
        <v>-2.614879433</v>
      </c>
      <c r="U95" s="4">
        <f t="shared" si="25"/>
        <v>-1.2626106524855929</v>
      </c>
      <c r="V95" s="22">
        <v>-0.57893437000000003</v>
      </c>
      <c r="W95" s="4">
        <f t="shared" si="26"/>
        <v>-0.16331171065690736</v>
      </c>
      <c r="X95" s="4">
        <v>0.12916666666666668</v>
      </c>
      <c r="Y95" s="4">
        <f t="shared" si="16"/>
        <v>-6.9891666666666685E-2</v>
      </c>
      <c r="Z95" s="4">
        <f t="shared" si="15"/>
        <v>-0.23320337732357405</v>
      </c>
      <c r="AA95" s="37">
        <f t="shared" si="20"/>
        <v>-2.1093949631446327E-2</v>
      </c>
      <c r="AB95" s="35"/>
      <c r="AC95" s="205">
        <f t="shared" si="21"/>
        <v>3.4166666666666665E-2</v>
      </c>
      <c r="AD95" s="205">
        <f t="shared" si="22"/>
        <v>4.4166666666666667E-2</v>
      </c>
      <c r="AE95" s="202">
        <f>G95</f>
        <v>8.5833333333333331E-2</v>
      </c>
      <c r="AF95" s="15">
        <f t="shared" si="17"/>
        <v>-0.21249999999999999</v>
      </c>
      <c r="AG95" s="15">
        <f t="shared" si="18"/>
        <v>-0.21583333333333332</v>
      </c>
      <c r="AH95" s="15">
        <f>M95</f>
        <v>-0.18416666666666667</v>
      </c>
      <c r="AI95" s="200">
        <f t="shared" si="23"/>
        <v>-0.13944444444444445</v>
      </c>
      <c r="AK95" s="37">
        <f>AA95-AI95</f>
        <v>0.11835049481299813</v>
      </c>
      <c r="AM95" s="106">
        <f>($G$14*AA95)-($G$15*AI95)</f>
        <v>17.846670951449319</v>
      </c>
    </row>
    <row r="96" spans="1:39" x14ac:dyDescent="0.2">
      <c r="A96" s="24">
        <v>43890</v>
      </c>
      <c r="B96" s="4"/>
      <c r="C96" s="25">
        <v>5.9200000000000003E-2</v>
      </c>
      <c r="D96" s="4"/>
      <c r="E96" s="15">
        <v>2.4999999999999998E-2</v>
      </c>
      <c r="F96" s="4">
        <v>3.5833333333333335E-2</v>
      </c>
      <c r="G96" s="4">
        <v>7.8333333333333324E-2</v>
      </c>
      <c r="H96" s="15">
        <v>-1.5466792048922984</v>
      </c>
      <c r="I96" s="15">
        <v>-1.399204221100403</v>
      </c>
      <c r="J96" s="4">
        <f t="shared" si="19"/>
        <v>-2.8945705727532687</v>
      </c>
      <c r="K96" s="15">
        <v>-0.20916666666666664</v>
      </c>
      <c r="L96" s="4">
        <v>-0.21916666666666665</v>
      </c>
      <c r="M96" s="16">
        <v>-0.18916666666666668</v>
      </c>
      <c r="N96" s="4"/>
      <c r="O96" s="22">
        <v>-8.9545972010000003</v>
      </c>
      <c r="P96" s="22">
        <v>-6.4755935090000003</v>
      </c>
      <c r="Q96" s="22">
        <v>-8.1608998859999993</v>
      </c>
      <c r="R96" s="16">
        <f t="shared" si="24"/>
        <v>-6.1385744458869969</v>
      </c>
      <c r="S96" s="4"/>
      <c r="T96" s="22">
        <v>-9.3336980060000005</v>
      </c>
      <c r="U96" s="4">
        <f t="shared" si="25"/>
        <v>-7.7194805352971194</v>
      </c>
      <c r="V96" s="22">
        <v>-1.4688999140000001</v>
      </c>
      <c r="W96" s="4">
        <f t="shared" si="26"/>
        <v>-1.2077822733313814</v>
      </c>
      <c r="X96" s="4">
        <v>0.13166666666666668</v>
      </c>
      <c r="Y96" s="4">
        <f t="shared" si="16"/>
        <v>-7.2466666666666679E-2</v>
      </c>
      <c r="Z96" s="4">
        <f t="shared" si="15"/>
        <v>-1.2802489399980481</v>
      </c>
      <c r="AA96" s="37">
        <f t="shared" si="20"/>
        <v>-4.1526948243374111</v>
      </c>
      <c r="AB96" s="35"/>
      <c r="AC96" s="205">
        <f t="shared" si="21"/>
        <v>2.4999999999999998E-2</v>
      </c>
      <c r="AD96" s="205">
        <f t="shared" si="22"/>
        <v>3.5833333333333335E-2</v>
      </c>
      <c r="AE96" s="202">
        <f>G96</f>
        <v>7.8333333333333324E-2</v>
      </c>
      <c r="AF96" s="15">
        <f t="shared" si="17"/>
        <v>-0.20916666666666664</v>
      </c>
      <c r="AG96" s="15">
        <f t="shared" si="18"/>
        <v>-0.21916666666666665</v>
      </c>
      <c r="AH96" s="15">
        <f>M96</f>
        <v>-0.18916666666666668</v>
      </c>
      <c r="AI96" s="200">
        <f t="shared" si="23"/>
        <v>-0.14309722222222224</v>
      </c>
      <c r="AK96" s="37">
        <f>AA96-AI96</f>
        <v>-4.0095976021151891</v>
      </c>
      <c r="AM96" s="106">
        <f>($G$14*AA96)-($G$15*AI96)</f>
        <v>-603.71945910788156</v>
      </c>
    </row>
    <row r="97" spans="1:39" x14ac:dyDescent="0.2">
      <c r="A97" s="24">
        <v>43921</v>
      </c>
      <c r="B97" s="4"/>
      <c r="C97" s="25">
        <v>2.6599999999999999E-2</v>
      </c>
      <c r="D97" s="4"/>
      <c r="E97" s="15">
        <v>1.2499999999999999E-2</v>
      </c>
      <c r="F97" s="4">
        <v>0.03</v>
      </c>
      <c r="G97" s="4">
        <v>7.166666666666667E-2</v>
      </c>
      <c r="H97" s="15">
        <v>-6.5704970600260575</v>
      </c>
      <c r="I97" s="15">
        <v>-12.406722935675457</v>
      </c>
      <c r="J97" s="4">
        <f t="shared" si="19"/>
        <v>-28.918001007538038</v>
      </c>
      <c r="K97" s="15">
        <v>-0.20916666666666664</v>
      </c>
      <c r="L97" s="4">
        <v>-0.2175</v>
      </c>
      <c r="M97" s="16">
        <v>-0.17833333333333334</v>
      </c>
      <c r="N97" s="4"/>
      <c r="O97" s="22">
        <v>-12.77904781</v>
      </c>
      <c r="P97" s="22">
        <v>-7.8495576859999998</v>
      </c>
      <c r="Q97" s="22">
        <v>-23.16850509</v>
      </c>
      <c r="R97" s="16">
        <f t="shared" si="24"/>
        <v>-19.762518961177399</v>
      </c>
      <c r="S97" s="4"/>
      <c r="T97" s="22">
        <v>-18.57392815</v>
      </c>
      <c r="U97" s="4">
        <f t="shared" si="25"/>
        <v>-16.403038627059424</v>
      </c>
      <c r="V97" s="22">
        <v>-5.4620852089999996</v>
      </c>
      <c r="W97" s="4">
        <f t="shared" si="26"/>
        <v>-4.6112246218662758</v>
      </c>
      <c r="X97" s="4">
        <v>5.4166666666666669E-2</v>
      </c>
      <c r="Y97" s="4">
        <f t="shared" si="16"/>
        <v>-2.756666666666667E-2</v>
      </c>
      <c r="Z97" s="4">
        <f t="shared" si="15"/>
        <v>-4.6387912885329428</v>
      </c>
      <c r="AA97" s="37">
        <f t="shared" si="20"/>
        <v>-7.0047284893671877</v>
      </c>
      <c r="AB97" s="35"/>
      <c r="AC97" s="205">
        <f t="shared" si="21"/>
        <v>1.2499999999999999E-2</v>
      </c>
      <c r="AD97" s="205">
        <f t="shared" si="22"/>
        <v>0.03</v>
      </c>
      <c r="AE97" s="202">
        <f>G97</f>
        <v>7.166666666666667E-2</v>
      </c>
      <c r="AF97" s="15">
        <f t="shared" si="17"/>
        <v>-0.20916666666666664</v>
      </c>
      <c r="AG97" s="15">
        <f t="shared" si="18"/>
        <v>-0.2175</v>
      </c>
      <c r="AH97" s="15">
        <f>M97</f>
        <v>-0.17833333333333334</v>
      </c>
      <c r="AI97" s="200">
        <f t="shared" si="23"/>
        <v>-0.1418611111111111</v>
      </c>
      <c r="AK97" s="37">
        <f>AA97-AI97</f>
        <v>-6.8628673782560767</v>
      </c>
      <c r="AM97" s="106">
        <f>($G$14*AA97)-($G$15*AI97)</f>
        <v>-1033.3514960366413</v>
      </c>
    </row>
    <row r="98" spans="1:39" x14ac:dyDescent="0.2">
      <c r="A98" s="24">
        <v>43951</v>
      </c>
      <c r="B98" s="4"/>
      <c r="C98" s="25">
        <v>5.4916666666666699E-3</v>
      </c>
      <c r="D98" s="4"/>
      <c r="E98" s="15">
        <v>3.3333333333333335E-3</v>
      </c>
      <c r="F98" s="4">
        <v>0.02</v>
      </c>
      <c r="G98" s="4">
        <v>5.0833333333333335E-2</v>
      </c>
      <c r="H98" s="15">
        <v>7.3759870069096234</v>
      </c>
      <c r="I98" s="15">
        <v>5.5398238509824509</v>
      </c>
      <c r="J98" s="4">
        <f t="shared" si="19"/>
        <v>32.459644030969308</v>
      </c>
      <c r="K98" s="15">
        <v>-0.20083333333333334</v>
      </c>
      <c r="L98" s="4">
        <v>-0.2175</v>
      </c>
      <c r="M98" s="16">
        <v>-0.19166666666666665</v>
      </c>
      <c r="N98" s="4"/>
      <c r="O98" s="22">
        <v>4.4723622560000003</v>
      </c>
      <c r="P98" s="22">
        <v>7.7885716460000003</v>
      </c>
      <c r="Q98" s="22">
        <v>12.191565750000001</v>
      </c>
      <c r="R98" s="16">
        <f t="shared" si="24"/>
        <v>5.8007488077645215</v>
      </c>
      <c r="S98" s="4"/>
      <c r="T98" s="22">
        <v>5.4803440070000002</v>
      </c>
      <c r="U98" s="4">
        <f t="shared" si="25"/>
        <v>1.1036674801881157</v>
      </c>
      <c r="V98" s="22">
        <v>3.0928826759999999</v>
      </c>
      <c r="W98" s="4">
        <f t="shared" si="26"/>
        <v>1.5520612164267447</v>
      </c>
      <c r="X98" s="4">
        <v>4.1666666666666666E-3</v>
      </c>
      <c r="Y98" s="4">
        <f t="shared" si="16"/>
        <v>1.3250000000000033E-3</v>
      </c>
      <c r="Z98" s="4">
        <f t="shared" si="15"/>
        <v>1.5533862164267447</v>
      </c>
      <c r="AA98" s="37">
        <f t="shared" si="20"/>
        <v>4.5018822436456931</v>
      </c>
      <c r="AB98" s="35"/>
      <c r="AC98" s="205">
        <f t="shared" si="21"/>
        <v>3.3333333333333335E-3</v>
      </c>
      <c r="AD98" s="205">
        <f t="shared" si="22"/>
        <v>0.02</v>
      </c>
      <c r="AE98" s="202">
        <f>G98</f>
        <v>5.0833333333333335E-2</v>
      </c>
      <c r="AF98" s="15">
        <f t="shared" si="17"/>
        <v>-0.20083333333333334</v>
      </c>
      <c r="AG98" s="15">
        <f t="shared" si="18"/>
        <v>-0.2175</v>
      </c>
      <c r="AH98" s="15">
        <f>M98</f>
        <v>-0.19166666666666665</v>
      </c>
      <c r="AI98" s="200">
        <f t="shared" si="23"/>
        <v>-0.14687500000000001</v>
      </c>
      <c r="AK98" s="37">
        <f>AA98-AI98</f>
        <v>4.6487572436456928</v>
      </c>
      <c r="AM98" s="106">
        <f>($G$14*AA98)-($G$15*AI98)</f>
        <v>700.01518042146358</v>
      </c>
    </row>
    <row r="99" spans="1:39" x14ac:dyDescent="0.2">
      <c r="A99" s="24">
        <v>43982</v>
      </c>
      <c r="B99" s="4"/>
      <c r="C99" s="25">
        <v>5.61666666666667E-3</v>
      </c>
      <c r="D99" s="4"/>
      <c r="E99" s="15">
        <v>-4.1666666666666666E-3</v>
      </c>
      <c r="F99" s="4">
        <v>1.4999999999999999E-2</v>
      </c>
      <c r="G99" s="4">
        <v>4.9999999999999996E-2</v>
      </c>
      <c r="H99" s="15">
        <v>1.0945043766326212</v>
      </c>
      <c r="I99" s="15">
        <v>3.3015688736597322</v>
      </c>
      <c r="J99" s="4">
        <f t="shared" si="19"/>
        <v>-5.581359232434524E-2</v>
      </c>
      <c r="K99" s="15">
        <v>-0.23833333333333331</v>
      </c>
      <c r="L99" s="4">
        <v>-0.24333333333333332</v>
      </c>
      <c r="M99" s="16">
        <v>-0.21166666666666667</v>
      </c>
      <c r="N99" s="4"/>
      <c r="O99" s="22">
        <v>3.3421470119999999</v>
      </c>
      <c r="P99" s="22">
        <v>6.3259506600000002</v>
      </c>
      <c r="Q99" s="22">
        <v>9.712681109</v>
      </c>
      <c r="R99" s="16">
        <f t="shared" si="24"/>
        <v>8.9302946487529056</v>
      </c>
      <c r="S99" s="4"/>
      <c r="T99" s="22">
        <v>0.20352831399999999</v>
      </c>
      <c r="U99" s="4">
        <f t="shared" si="25"/>
        <v>0.38355614723762316</v>
      </c>
      <c r="V99" s="22">
        <v>1.9501082679999999</v>
      </c>
      <c r="W99" s="4">
        <f t="shared" si="26"/>
        <v>1.870498857685349</v>
      </c>
      <c r="X99" s="4">
        <v>4.1666666666666666E-3</v>
      </c>
      <c r="Y99" s="4">
        <f t="shared" si="16"/>
        <v>1.4500000000000034E-3</v>
      </c>
      <c r="Z99" s="4">
        <f t="shared" si="15"/>
        <v>1.8719488576853489</v>
      </c>
      <c r="AA99" s="37">
        <f t="shared" si="20"/>
        <v>2.7070180675265525</v>
      </c>
      <c r="AB99" s="35"/>
      <c r="AC99" s="205">
        <f t="shared" si="21"/>
        <v>-4.1666666666666666E-3</v>
      </c>
      <c r="AD99" s="205">
        <f t="shared" si="22"/>
        <v>1.4999999999999999E-2</v>
      </c>
      <c r="AE99" s="202">
        <f>G99</f>
        <v>4.9999999999999996E-2</v>
      </c>
      <c r="AF99" s="15">
        <f t="shared" si="17"/>
        <v>-0.23833333333333331</v>
      </c>
      <c r="AG99" s="15">
        <f t="shared" si="18"/>
        <v>-0.24333333333333332</v>
      </c>
      <c r="AH99" s="15">
        <f>M99</f>
        <v>-0.21166666666666667</v>
      </c>
      <c r="AI99" s="200">
        <f t="shared" si="23"/>
        <v>-0.16819444444444445</v>
      </c>
      <c r="AK99" s="37">
        <f>AA99-AI99</f>
        <v>2.875212511970997</v>
      </c>
      <c r="AM99" s="106">
        <f>($G$14*AA99)-($G$15*AI99)</f>
        <v>432.96721877755658</v>
      </c>
    </row>
    <row r="100" spans="1:39" x14ac:dyDescent="0.2">
      <c r="A100" s="24">
        <v>44012</v>
      </c>
      <c r="B100" s="4"/>
      <c r="C100" s="25">
        <v>5.3833333333333303E-3</v>
      </c>
      <c r="D100" s="4"/>
      <c r="E100" s="15">
        <v>-7.4999999999999997E-3</v>
      </c>
      <c r="F100" s="4">
        <v>1.5833333333333335E-2</v>
      </c>
      <c r="G100" s="4">
        <v>5.5E-2</v>
      </c>
      <c r="H100" s="15">
        <v>1.0174081457846373</v>
      </c>
      <c r="I100" s="15">
        <v>1.0358802667576716</v>
      </c>
      <c r="J100" s="4">
        <f t="shared" si="19"/>
        <v>-2.3626526435954185</v>
      </c>
      <c r="K100" s="15">
        <v>-0.22916666666666666</v>
      </c>
      <c r="L100" s="4">
        <v>-0.24416666666666667</v>
      </c>
      <c r="M100" s="16">
        <v>-0.21416666666666664</v>
      </c>
      <c r="N100" s="4"/>
      <c r="O100" s="22">
        <v>2.4688841589999999</v>
      </c>
      <c r="P100" s="22">
        <v>2.6680957439999999</v>
      </c>
      <c r="Q100" s="22">
        <v>3.0022354469999999</v>
      </c>
      <c r="R100" s="16">
        <f t="shared" si="24"/>
        <v>4.1878472873505812</v>
      </c>
      <c r="S100" s="4"/>
      <c r="T100" s="22">
        <v>0.33919687100000001</v>
      </c>
      <c r="U100" s="4">
        <f t="shared" si="25"/>
        <v>0.34806872624752466</v>
      </c>
      <c r="V100" s="22">
        <v>1.328975786</v>
      </c>
      <c r="W100" s="4">
        <f t="shared" si="26"/>
        <v>1.4372804003370698</v>
      </c>
      <c r="X100" s="4">
        <v>6.6666666666666671E-3</v>
      </c>
      <c r="Y100" s="4">
        <f t="shared" si="16"/>
        <v>-1.2833333333333368E-3</v>
      </c>
      <c r="Z100" s="4">
        <f t="shared" si="15"/>
        <v>1.4359970670037365</v>
      </c>
      <c r="AA100" s="37">
        <f t="shared" si="20"/>
        <v>1.4570599695124704</v>
      </c>
      <c r="AB100" s="35"/>
      <c r="AC100" s="205">
        <f t="shared" si="21"/>
        <v>-7.4999999999999997E-3</v>
      </c>
      <c r="AD100" s="205">
        <f t="shared" si="22"/>
        <v>1.5833333333333335E-2</v>
      </c>
      <c r="AE100" s="202">
        <f>G100</f>
        <v>5.5E-2</v>
      </c>
      <c r="AF100" s="15">
        <f t="shared" si="17"/>
        <v>-0.22916666666666666</v>
      </c>
      <c r="AG100" s="15">
        <f t="shared" si="18"/>
        <v>-0.24416666666666667</v>
      </c>
      <c r="AH100" s="15">
        <f>M100</f>
        <v>-0.21416666666666664</v>
      </c>
      <c r="AI100" s="200">
        <f t="shared" si="23"/>
        <v>-0.16695833333333335</v>
      </c>
      <c r="AK100" s="37">
        <f>AA100-AI100</f>
        <v>1.6240183028458037</v>
      </c>
      <c r="AM100" s="106">
        <f>($G$14*AA100)-($G$15*AI100)</f>
        <v>244.56810887844543</v>
      </c>
    </row>
    <row r="101" spans="1:39" x14ac:dyDescent="0.2">
      <c r="A101" s="24">
        <v>44043</v>
      </c>
      <c r="B101" s="4"/>
      <c r="C101" s="25">
        <v>4.9916666666666703E-3</v>
      </c>
      <c r="D101" s="4"/>
      <c r="E101" s="15">
        <v>-1.0833333333333334E-2</v>
      </c>
      <c r="F101" s="4">
        <v>1.0833333333333334E-2</v>
      </c>
      <c r="G101" s="4">
        <v>5.1666666666666666E-2</v>
      </c>
      <c r="H101" s="15">
        <v>2.1406601946066806</v>
      </c>
      <c r="I101" s="15">
        <v>2.949387312108831</v>
      </c>
      <c r="J101" s="4">
        <f t="shared" si="19"/>
        <v>5.8196478801355696</v>
      </c>
      <c r="K101" s="15">
        <v>-0.24750000000000003</v>
      </c>
      <c r="L101" s="4">
        <v>-0.255</v>
      </c>
      <c r="M101" s="16">
        <v>-0.21916666666666665</v>
      </c>
      <c r="N101" s="4"/>
      <c r="O101" s="22">
        <v>-3.965870287</v>
      </c>
      <c r="P101" s="22">
        <v>-0.93344749999999999</v>
      </c>
      <c r="Q101" s="22">
        <v>-2.97698632</v>
      </c>
      <c r="R101" s="16">
        <f t="shared" si="24"/>
        <v>-1.5440195985298839</v>
      </c>
      <c r="S101" s="4"/>
      <c r="T101" s="22">
        <v>1.927122733</v>
      </c>
      <c r="U101" s="4">
        <f t="shared" si="25"/>
        <v>1.611311931649505</v>
      </c>
      <c r="V101" s="22">
        <v>1.778960739</v>
      </c>
      <c r="W101" s="4">
        <f t="shared" si="26"/>
        <v>1.710624671267414</v>
      </c>
      <c r="X101" s="4">
        <v>7.4999999999999997E-3</v>
      </c>
      <c r="Y101" s="4">
        <f t="shared" si="16"/>
        <v>-2.5083333333333294E-3</v>
      </c>
      <c r="Z101" s="4">
        <f t="shared" si="15"/>
        <v>1.7081163379340807</v>
      </c>
      <c r="AA101" s="37">
        <f t="shared" si="20"/>
        <v>-0.45287219230992509</v>
      </c>
      <c r="AB101" s="35"/>
      <c r="AC101" s="205">
        <f t="shared" si="21"/>
        <v>-1.0833333333333334E-2</v>
      </c>
      <c r="AD101" s="205">
        <f t="shared" si="22"/>
        <v>1.0833333333333334E-2</v>
      </c>
      <c r="AE101" s="202">
        <f>G101</f>
        <v>5.1666666666666666E-2</v>
      </c>
      <c r="AF101" s="15">
        <f t="shared" si="17"/>
        <v>-0.24750000000000003</v>
      </c>
      <c r="AG101" s="15">
        <f t="shared" si="18"/>
        <v>-0.255</v>
      </c>
      <c r="AH101" s="15">
        <f>M101</f>
        <v>-0.21916666666666665</v>
      </c>
      <c r="AI101" s="200">
        <f t="shared" si="23"/>
        <v>-0.176125</v>
      </c>
      <c r="AK101" s="37">
        <f>AA101-AI101</f>
        <v>-0.27674719230992506</v>
      </c>
      <c r="AM101" s="106">
        <f>($G$14*AA101)-($G$15*AI101)</f>
        <v>-41.638418182861081</v>
      </c>
    </row>
    <row r="102" spans="1:39" x14ac:dyDescent="0.2">
      <c r="A102" s="24">
        <v>44074</v>
      </c>
      <c r="B102" s="4"/>
      <c r="C102" s="25">
        <v>4.6833333333333301E-3</v>
      </c>
      <c r="D102" s="4"/>
      <c r="E102" s="15">
        <v>-5.8333333333333336E-3</v>
      </c>
      <c r="F102" s="4">
        <v>2.9166666666666664E-2</v>
      </c>
      <c r="G102" s="4">
        <v>7.4166666666666672E-2</v>
      </c>
      <c r="H102" s="15">
        <v>-1.1978011949206113</v>
      </c>
      <c r="I102" s="15">
        <v>1.1486624280725</v>
      </c>
      <c r="J102" s="4">
        <f t="shared" si="19"/>
        <v>-1.5524248979819966</v>
      </c>
      <c r="K102" s="15">
        <v>-0.26500000000000001</v>
      </c>
      <c r="L102" s="4">
        <v>-0.24916666666666668</v>
      </c>
      <c r="M102" s="16">
        <v>-0.20333333333333334</v>
      </c>
      <c r="N102" s="4"/>
      <c r="O102" s="22">
        <v>1.4841538910000001</v>
      </c>
      <c r="P102" s="22">
        <v>5.1120860769999998</v>
      </c>
      <c r="Q102" s="22">
        <v>2.296355605</v>
      </c>
      <c r="R102" s="16">
        <f t="shared" si="24"/>
        <v>1.5282805642940231</v>
      </c>
      <c r="S102" s="4"/>
      <c r="T102" s="22">
        <v>1.238128586</v>
      </c>
      <c r="U102" s="4">
        <f t="shared" si="25"/>
        <v>1.3127652551299009</v>
      </c>
      <c r="V102" s="22">
        <v>1.2394440170000001</v>
      </c>
      <c r="W102" s="4">
        <f t="shared" si="26"/>
        <v>1.333680147853483</v>
      </c>
      <c r="X102" s="4">
        <v>8.3333333333333332E-3</v>
      </c>
      <c r="Y102" s="4">
        <f t="shared" si="16"/>
        <v>-3.6500000000000031E-3</v>
      </c>
      <c r="Z102" s="4">
        <f t="shared" si="15"/>
        <v>1.3300301478534831</v>
      </c>
      <c r="AA102" s="37">
        <f t="shared" si="20"/>
        <v>1.4746501612318974</v>
      </c>
      <c r="AB102" s="35"/>
      <c r="AC102" s="205">
        <f t="shared" si="21"/>
        <v>-5.8333333333333336E-3</v>
      </c>
      <c r="AD102" s="205">
        <f t="shared" si="22"/>
        <v>2.9166666666666664E-2</v>
      </c>
      <c r="AE102" s="202">
        <f>G102</f>
        <v>7.4166666666666672E-2</v>
      </c>
      <c r="AF102" s="15">
        <f t="shared" si="17"/>
        <v>-0.26500000000000001</v>
      </c>
      <c r="AG102" s="15">
        <f t="shared" si="18"/>
        <v>-0.24916666666666668</v>
      </c>
      <c r="AH102" s="15">
        <f>M102</f>
        <v>-0.20333333333333334</v>
      </c>
      <c r="AI102" s="200">
        <f t="shared" si="23"/>
        <v>-0.16987500000000003</v>
      </c>
      <c r="AK102" s="37">
        <f>AA102-AI102</f>
        <v>1.6445251612318974</v>
      </c>
      <c r="AM102" s="106">
        <f>($G$14*AA102)-($G$15*AI102)</f>
        <v>247.65647833536889</v>
      </c>
    </row>
    <row r="103" spans="1:39" x14ac:dyDescent="0.2">
      <c r="A103" s="24">
        <v>44104</v>
      </c>
      <c r="B103" s="4"/>
      <c r="C103" s="25">
        <v>4.55833333333333E-3</v>
      </c>
      <c r="D103" s="4"/>
      <c r="E103" s="15">
        <v>-6.6666666666666671E-3</v>
      </c>
      <c r="F103" s="4">
        <v>2.1666666666666667E-2</v>
      </c>
      <c r="G103" s="4">
        <v>6.4166666666666664E-2</v>
      </c>
      <c r="H103" s="15">
        <v>1.7479163617162286E-3</v>
      </c>
      <c r="I103" s="15">
        <v>-1.1547202310351112</v>
      </c>
      <c r="J103" s="4">
        <f t="shared" si="19"/>
        <v>-4.6097942196965276</v>
      </c>
      <c r="K103" s="15">
        <v>-0.26083333333333331</v>
      </c>
      <c r="L103" s="4">
        <v>-0.2508333333333333</v>
      </c>
      <c r="M103" s="16">
        <v>-0.20750000000000002</v>
      </c>
      <c r="N103" s="4"/>
      <c r="O103" s="22">
        <v>-1.185074438</v>
      </c>
      <c r="P103" s="22">
        <v>0.42303585799999999</v>
      </c>
      <c r="Q103" s="22">
        <v>5.3881375000000002E-2</v>
      </c>
      <c r="R103" s="16">
        <f t="shared" si="24"/>
        <v>0.34876121285880468</v>
      </c>
      <c r="S103" s="4"/>
      <c r="T103" s="22">
        <v>-5.2359562080000002</v>
      </c>
      <c r="U103" s="4">
        <f t="shared" si="25"/>
        <v>-3.9262119153740196</v>
      </c>
      <c r="V103" s="22">
        <v>-0.81917569599999995</v>
      </c>
      <c r="W103" s="4">
        <f t="shared" si="26"/>
        <v>-0.38860452722930344</v>
      </c>
      <c r="X103" s="4">
        <v>7.4999999999999997E-3</v>
      </c>
      <c r="Y103" s="4">
        <f t="shared" si="16"/>
        <v>-2.9416666666666697E-3</v>
      </c>
      <c r="Z103" s="4">
        <f t="shared" si="15"/>
        <v>-0.39154619389597012</v>
      </c>
      <c r="AA103" s="37">
        <f t="shared" si="20"/>
        <v>-0.32059917407416511</v>
      </c>
      <c r="AB103" s="35"/>
      <c r="AC103" s="205">
        <f t="shared" si="21"/>
        <v>-6.6666666666666671E-3</v>
      </c>
      <c r="AD103" s="205">
        <f t="shared" si="22"/>
        <v>2.1666666666666667E-2</v>
      </c>
      <c r="AE103" s="202">
        <f>G103</f>
        <v>6.4166666666666664E-2</v>
      </c>
      <c r="AF103" s="15">
        <f t="shared" si="17"/>
        <v>-0.26083333333333331</v>
      </c>
      <c r="AG103" s="15">
        <f t="shared" si="18"/>
        <v>-0.2508333333333333</v>
      </c>
      <c r="AH103" s="15">
        <f>M103</f>
        <v>-0.20750000000000002</v>
      </c>
      <c r="AI103" s="200">
        <f t="shared" si="23"/>
        <v>-0.17222222222222222</v>
      </c>
      <c r="AK103" s="37">
        <f>AA103-AI103</f>
        <v>-0.14837695185194288</v>
      </c>
      <c r="AM103" s="106">
        <f>($G$14*AA103)-($G$15*AI103)</f>
        <v>-22.309765423187194</v>
      </c>
    </row>
    <row r="104" spans="1:39" x14ac:dyDescent="0.2">
      <c r="A104" s="24">
        <v>44135</v>
      </c>
      <c r="B104" s="4"/>
      <c r="C104" s="25">
        <v>4.4833333333333296E-3</v>
      </c>
      <c r="D104" s="4"/>
      <c r="E104" s="15">
        <v>-5.8333333333333336E-3</v>
      </c>
      <c r="F104" s="4">
        <v>2.4999999999999998E-2</v>
      </c>
      <c r="G104" s="4">
        <v>6.8333333333333329E-2</v>
      </c>
      <c r="H104" s="15">
        <v>0.2952417589047851</v>
      </c>
      <c r="I104" s="15">
        <v>8.6050517491553791E-4</v>
      </c>
      <c r="J104" s="4">
        <f t="shared" si="19"/>
        <v>1.7342316094899557</v>
      </c>
      <c r="K104" s="15">
        <v>-0.26416666666666666</v>
      </c>
      <c r="L104" s="4">
        <v>-0.2525</v>
      </c>
      <c r="M104" s="16">
        <v>-0.21083333333333332</v>
      </c>
      <c r="N104" s="4"/>
      <c r="O104" s="22">
        <v>-4.5876907190000003</v>
      </c>
      <c r="P104" s="22">
        <v>-3.6420089529999999</v>
      </c>
      <c r="Q104" s="22">
        <v>-4.8806297790000004</v>
      </c>
      <c r="R104" s="16">
        <f t="shared" si="24"/>
        <v>-3.8347515806282395</v>
      </c>
      <c r="S104" s="4"/>
      <c r="T104" s="22">
        <v>-0.83771952900000002</v>
      </c>
      <c r="U104" s="4">
        <f t="shared" si="25"/>
        <v>-1.4554180062748041</v>
      </c>
      <c r="V104" s="22">
        <v>-0.42727222999999998</v>
      </c>
      <c r="W104" s="4">
        <f t="shared" si="26"/>
        <v>-0.4195386894458607</v>
      </c>
      <c r="X104" s="4">
        <v>7.4999999999999997E-3</v>
      </c>
      <c r="Y104" s="4">
        <f t="shared" si="16"/>
        <v>-3.0166666666666701E-3</v>
      </c>
      <c r="Z104" s="4">
        <f t="shared" si="15"/>
        <v>-0.42255535611252737</v>
      </c>
      <c r="AA104" s="37">
        <f t="shared" si="20"/>
        <v>-1.9001782009329338</v>
      </c>
      <c r="AB104" s="35"/>
      <c r="AC104" s="205">
        <f t="shared" si="21"/>
        <v>-5.8333333333333336E-3</v>
      </c>
      <c r="AD104" s="205">
        <f t="shared" si="22"/>
        <v>2.4999999999999998E-2</v>
      </c>
      <c r="AE104" s="202">
        <f>G104</f>
        <v>6.8333333333333329E-2</v>
      </c>
      <c r="AF104" s="15">
        <f t="shared" si="17"/>
        <v>-0.26416666666666666</v>
      </c>
      <c r="AG104" s="15">
        <f t="shared" si="18"/>
        <v>-0.2525</v>
      </c>
      <c r="AH104" s="15">
        <f>M104</f>
        <v>-0.21083333333333332</v>
      </c>
      <c r="AI104" s="200">
        <f t="shared" si="23"/>
        <v>-0.17348611111111112</v>
      </c>
      <c r="AK104" s="37">
        <f>AA104-AI104</f>
        <v>-1.7266920898218228</v>
      </c>
      <c r="AM104" s="106">
        <f>($G$14*AA104)-($G$15*AI104)</f>
        <v>-259.96472413854201</v>
      </c>
    </row>
    <row r="105" spans="1:39" x14ac:dyDescent="0.2">
      <c r="A105" s="24">
        <v>44165</v>
      </c>
      <c r="B105" s="4"/>
      <c r="C105" s="25">
        <v>4.4749999999999998E-3</v>
      </c>
      <c r="D105" s="4"/>
      <c r="E105" s="15">
        <v>-1.6666666666666668E-3</v>
      </c>
      <c r="F105" s="4">
        <v>0.03</v>
      </c>
      <c r="G105" s="4">
        <v>7.0833333333333331E-2</v>
      </c>
      <c r="H105" s="15">
        <v>2.3738190773557433</v>
      </c>
      <c r="I105" s="15">
        <v>4.1964628870184262</v>
      </c>
      <c r="J105" s="4">
        <f t="shared" si="19"/>
        <v>10.489866459783691</v>
      </c>
      <c r="K105" s="15">
        <v>-0.26083333333333331</v>
      </c>
      <c r="L105" s="4">
        <v>-0.24416666666666667</v>
      </c>
      <c r="M105" s="16">
        <v>-0.20750000000000002</v>
      </c>
      <c r="N105" s="4"/>
      <c r="O105" s="22">
        <v>11.94588473</v>
      </c>
      <c r="P105" s="22">
        <v>8.7771427329999998</v>
      </c>
      <c r="Q105" s="22">
        <v>15.62745041</v>
      </c>
      <c r="R105" s="16">
        <f t="shared" si="24"/>
        <v>11.735010011874353</v>
      </c>
      <c r="S105" s="4"/>
      <c r="T105" s="22">
        <v>10.79560124</v>
      </c>
      <c r="U105" s="4">
        <f t="shared" si="25"/>
        <v>8.3453973907450401</v>
      </c>
      <c r="V105" s="22">
        <v>3.2806729699999999</v>
      </c>
      <c r="W105" s="4">
        <f t="shared" si="26"/>
        <v>2.5406306381108283</v>
      </c>
      <c r="X105" s="4">
        <v>7.4999999999999997E-3</v>
      </c>
      <c r="Y105" s="4">
        <f t="shared" si="16"/>
        <v>-3.0249999999999999E-3</v>
      </c>
      <c r="Z105" s="4">
        <f t="shared" si="15"/>
        <v>2.5376056381108283</v>
      </c>
      <c r="AA105" s="37">
        <f t="shared" si="20"/>
        <v>5.5867022964527608</v>
      </c>
      <c r="AB105" s="35"/>
      <c r="AC105" s="205">
        <f t="shared" si="21"/>
        <v>-1.6666666666666668E-3</v>
      </c>
      <c r="AD105" s="205">
        <f t="shared" si="22"/>
        <v>0.03</v>
      </c>
      <c r="AE105" s="202">
        <f>G105</f>
        <v>7.0833333333333331E-2</v>
      </c>
      <c r="AF105" s="15">
        <f t="shared" si="17"/>
        <v>-0.26083333333333331</v>
      </c>
      <c r="AG105" s="15">
        <f t="shared" si="18"/>
        <v>-0.24416666666666667</v>
      </c>
      <c r="AH105" s="15">
        <f>M105</f>
        <v>-0.20750000000000002</v>
      </c>
      <c r="AI105" s="200">
        <f t="shared" si="23"/>
        <v>-0.16850000000000001</v>
      </c>
      <c r="AK105" s="37">
        <f>AA105-AI105</f>
        <v>5.7552022964527607</v>
      </c>
      <c r="AM105" s="106">
        <f>($G$14*AA105)-($G$15*AI105)</f>
        <v>866.62245399790095</v>
      </c>
    </row>
    <row r="106" spans="1:39" x14ac:dyDescent="0.2">
      <c r="A106" s="24">
        <v>44196</v>
      </c>
      <c r="B106" s="4"/>
      <c r="C106" s="25">
        <v>4.1000000000000003E-3</v>
      </c>
      <c r="D106" s="4"/>
      <c r="E106" s="15">
        <v>-0.01</v>
      </c>
      <c r="F106" s="4">
        <v>1.9166666666666669E-2</v>
      </c>
      <c r="G106" s="4">
        <v>0.06</v>
      </c>
      <c r="H106" s="15">
        <v>1.5496803067033937</v>
      </c>
      <c r="I106" s="15">
        <v>1.1870720643062493</v>
      </c>
      <c r="J106" s="4">
        <f t="shared" si="19"/>
        <v>-3.3270141697620157</v>
      </c>
      <c r="K106" s="15">
        <v>-0.25916666666666666</v>
      </c>
      <c r="L106" s="4">
        <v>-0.24833333333333332</v>
      </c>
      <c r="M106" s="16">
        <v>-0.215</v>
      </c>
      <c r="N106" s="4"/>
      <c r="O106" s="22">
        <v>3.506031423</v>
      </c>
      <c r="P106" s="22">
        <v>2.2272191929999998</v>
      </c>
      <c r="Q106" s="22">
        <v>3.3987761440000002</v>
      </c>
      <c r="R106" s="16">
        <f t="shared" si="24"/>
        <v>5.0660229175748714</v>
      </c>
      <c r="S106" s="4"/>
      <c r="T106" s="22">
        <v>3.008503776</v>
      </c>
      <c r="U106" s="4">
        <f t="shared" si="25"/>
        <v>4.0758824989490083</v>
      </c>
      <c r="V106" s="22">
        <v>2.1387272830000001</v>
      </c>
      <c r="W106" s="4">
        <f t="shared" si="26"/>
        <v>2.2191079540221659</v>
      </c>
      <c r="X106" s="4">
        <v>7.4999999999999997E-3</v>
      </c>
      <c r="Y106" s="4">
        <f t="shared" si="16"/>
        <v>-3.3999999999999994E-3</v>
      </c>
      <c r="Z106" s="4">
        <f t="shared" si="15"/>
        <v>2.2157079540221658</v>
      </c>
      <c r="AA106" s="37">
        <f t="shared" si="20"/>
        <v>1.8519535193189707</v>
      </c>
      <c r="AB106" s="35"/>
      <c r="AC106" s="205">
        <f t="shared" si="21"/>
        <v>-0.01</v>
      </c>
      <c r="AD106" s="205">
        <f t="shared" si="22"/>
        <v>1.9166666666666669E-2</v>
      </c>
      <c r="AE106" s="202">
        <f>G106</f>
        <v>0.06</v>
      </c>
      <c r="AF106" s="15">
        <f t="shared" si="17"/>
        <v>-0.25916666666666666</v>
      </c>
      <c r="AG106" s="15">
        <f t="shared" si="18"/>
        <v>-0.24833333333333332</v>
      </c>
      <c r="AH106" s="15">
        <f>M106</f>
        <v>-0.215</v>
      </c>
      <c r="AI106" s="200">
        <f t="shared" si="23"/>
        <v>-0.17383333333333334</v>
      </c>
      <c r="AK106" s="37">
        <f>AA106-AI106</f>
        <v>2.025786852652304</v>
      </c>
      <c r="AM106" s="106">
        <f>($G$14*AA106)-($G$15*AI106)</f>
        <v>305.06579085723826</v>
      </c>
    </row>
    <row r="107" spans="1:39" x14ac:dyDescent="0.2">
      <c r="A107" s="24">
        <v>44227</v>
      </c>
      <c r="B107" s="4"/>
      <c r="C107" s="25">
        <v>4.1166666666666704E-3</v>
      </c>
      <c r="D107" s="4"/>
      <c r="E107" s="15">
        <v>-6.6666666666666671E-3</v>
      </c>
      <c r="F107" s="4">
        <v>3.0833333333333334E-2</v>
      </c>
      <c r="G107" s="4">
        <v>7.3333333333333334E-2</v>
      </c>
      <c r="H107" s="15">
        <v>-1.6407304745059137</v>
      </c>
      <c r="I107" s="15">
        <v>7.3127289551699892E-2</v>
      </c>
      <c r="J107" s="4">
        <f t="shared" si="19"/>
        <v>-1.5977898725801243</v>
      </c>
      <c r="K107" s="15">
        <v>-0.27499999999999997</v>
      </c>
      <c r="L107" s="4">
        <v>-0.24416666666666667</v>
      </c>
      <c r="M107" s="16">
        <v>-0.20250000000000001</v>
      </c>
      <c r="N107" s="4"/>
      <c r="O107" s="22">
        <v>-1.000424623</v>
      </c>
      <c r="P107" s="22">
        <v>-0.76601473200000003</v>
      </c>
      <c r="Q107" s="22">
        <v>-0.80721418599999994</v>
      </c>
      <c r="R107" s="16">
        <f t="shared" si="24"/>
        <v>0.36743323471497435</v>
      </c>
      <c r="S107" s="4"/>
      <c r="T107" s="22">
        <v>-1.3362421529999999</v>
      </c>
      <c r="U107" s="4">
        <f t="shared" si="25"/>
        <v>-0.25381722261019823</v>
      </c>
      <c r="V107" s="22">
        <v>0.11604066</v>
      </c>
      <c r="W107" s="4">
        <f t="shared" si="26"/>
        <v>0.53665411880443314</v>
      </c>
      <c r="X107" s="4">
        <v>7.4999999999999997E-3</v>
      </c>
      <c r="Y107" s="4">
        <f t="shared" si="16"/>
        <v>-3.3833333333333293E-3</v>
      </c>
      <c r="Z107" s="4">
        <f t="shared" si="15"/>
        <v>0.53327078547109985</v>
      </c>
      <c r="AA107" s="37">
        <f t="shared" si="20"/>
        <v>-0.72114034769675106</v>
      </c>
      <c r="AB107" s="35"/>
      <c r="AC107" s="205">
        <f t="shared" si="21"/>
        <v>-6.6666666666666671E-3</v>
      </c>
      <c r="AD107" s="205">
        <f t="shared" si="22"/>
        <v>3.0833333333333334E-2</v>
      </c>
      <c r="AE107" s="202">
        <f>G107</f>
        <v>7.3333333333333334E-2</v>
      </c>
      <c r="AF107" s="15">
        <f t="shared" si="17"/>
        <v>-0.27499999999999997</v>
      </c>
      <c r="AG107" s="15">
        <f t="shared" si="18"/>
        <v>-0.24416666666666667</v>
      </c>
      <c r="AH107" s="15">
        <f>M107</f>
        <v>-0.20250000000000001</v>
      </c>
      <c r="AI107" s="200">
        <f t="shared" si="23"/>
        <v>-0.170125</v>
      </c>
      <c r="AK107" s="37">
        <f>AA107-AI107</f>
        <v>-0.55101534769675109</v>
      </c>
      <c r="AM107" s="106">
        <f>($G$14*AA107)-($G$15*AI107)</f>
        <v>-82.937533309126778</v>
      </c>
    </row>
    <row r="108" spans="1:39" x14ac:dyDescent="0.2">
      <c r="A108" s="24">
        <v>44255</v>
      </c>
      <c r="B108" s="4"/>
      <c r="C108" s="25">
        <v>4.0499999999999998E-3</v>
      </c>
      <c r="D108" s="4"/>
      <c r="E108" s="15">
        <v>1.4999999999999999E-2</v>
      </c>
      <c r="F108" s="4">
        <v>7.4166666666666672E-2</v>
      </c>
      <c r="G108" s="4">
        <v>0.11499999999999999</v>
      </c>
      <c r="H108" s="15">
        <v>-3.4432121415758021</v>
      </c>
      <c r="I108" s="15">
        <v>0.10199834967560273</v>
      </c>
      <c r="J108" s="4">
        <f t="shared" si="19"/>
        <v>0.14530493986145698</v>
      </c>
      <c r="K108" s="15">
        <v>-0.26416666666666666</v>
      </c>
      <c r="L108" s="4">
        <v>-0.215</v>
      </c>
      <c r="M108" s="16">
        <v>-0.17583333333333331</v>
      </c>
      <c r="N108" s="4"/>
      <c r="O108" s="22">
        <v>1.618836886</v>
      </c>
      <c r="P108" s="22">
        <v>0.82570616699999999</v>
      </c>
      <c r="Q108" s="22">
        <v>4.4422536150000003</v>
      </c>
      <c r="R108" s="16">
        <f t="shared" si="24"/>
        <v>3.6272895389429949</v>
      </c>
      <c r="S108" s="4"/>
      <c r="T108" s="22">
        <v>2.3193440459999999</v>
      </c>
      <c r="U108" s="4">
        <f t="shared" si="25"/>
        <v>1.8047117922779603</v>
      </c>
      <c r="V108" s="22">
        <v>0.22073058500000001</v>
      </c>
      <c r="W108" s="4">
        <f t="shared" si="26"/>
        <v>0.28391529176088665</v>
      </c>
      <c r="X108" s="4">
        <v>6.6666666666666671E-3</v>
      </c>
      <c r="Y108" s="4">
        <f t="shared" si="16"/>
        <v>-2.6166666666666673E-3</v>
      </c>
      <c r="Z108" s="4">
        <f t="shared" si="15"/>
        <v>0.28129862509421999</v>
      </c>
      <c r="AA108" s="37">
        <f t="shared" si="20"/>
        <v>-2.8872892422191813E-2</v>
      </c>
      <c r="AB108" s="35"/>
      <c r="AC108" s="205">
        <f t="shared" si="21"/>
        <v>1.4999999999999999E-2</v>
      </c>
      <c r="AD108" s="205">
        <f t="shared" si="22"/>
        <v>7.4166666666666672E-2</v>
      </c>
      <c r="AE108" s="202">
        <f>G108</f>
        <v>0.11499999999999999</v>
      </c>
      <c r="AF108" s="15">
        <f t="shared" si="17"/>
        <v>-0.26416666666666666</v>
      </c>
      <c r="AG108" s="15">
        <f t="shared" si="18"/>
        <v>-0.215</v>
      </c>
      <c r="AH108" s="15">
        <f>M108</f>
        <v>-0.17583333333333331</v>
      </c>
      <c r="AI108" s="200">
        <f t="shared" si="23"/>
        <v>-0.14329166666666665</v>
      </c>
      <c r="AK108" s="37">
        <f>AA108-AI108</f>
        <v>0.11441877424447483</v>
      </c>
      <c r="AM108" s="106">
        <f>($G$14*AA108)-($G$15*AI108)</f>
        <v>17.255368914143951</v>
      </c>
    </row>
    <row r="109" spans="1:39" x14ac:dyDescent="0.2">
      <c r="A109" s="24">
        <v>44286</v>
      </c>
      <c r="B109" s="4"/>
      <c r="C109" s="25">
        <v>4.0499999999999998E-3</v>
      </c>
      <c r="D109" s="4"/>
      <c r="E109" s="15">
        <v>1.3333333333333334E-2</v>
      </c>
      <c r="F109" s="4">
        <v>7.7499999999999999E-2</v>
      </c>
      <c r="G109" s="4">
        <v>0.11749999999999999</v>
      </c>
      <c r="H109" s="15">
        <v>5.3989228478923401E-2</v>
      </c>
      <c r="I109" s="15">
        <v>0.69957763360970482</v>
      </c>
      <c r="J109" s="4">
        <f t="shared" si="19"/>
        <v>1.595946559510858</v>
      </c>
      <c r="K109" s="15">
        <v>-0.28583333333333333</v>
      </c>
      <c r="L109" s="4">
        <v>-0.22583333333333333</v>
      </c>
      <c r="M109" s="16">
        <v>-0.18333333333333335</v>
      </c>
      <c r="N109" s="4"/>
      <c r="O109" s="22">
        <v>4.3706799590000003</v>
      </c>
      <c r="P109" s="22">
        <v>4.3969241219999997</v>
      </c>
      <c r="Q109" s="22">
        <v>6.6962044629999999</v>
      </c>
      <c r="R109" s="16">
        <f t="shared" si="24"/>
        <v>6.0824214781885999</v>
      </c>
      <c r="S109" s="4"/>
      <c r="T109" s="22">
        <v>2.6627957289999999</v>
      </c>
      <c r="U109" s="4">
        <f t="shared" si="25"/>
        <v>2.4911789416555918</v>
      </c>
      <c r="V109" s="22">
        <v>-0.69611369700000003</v>
      </c>
      <c r="W109" s="4">
        <f t="shared" si="26"/>
        <v>-0.50010789924782273</v>
      </c>
      <c r="X109" s="4">
        <v>5.8333333333333336E-3</v>
      </c>
      <c r="Y109" s="4">
        <f t="shared" si="16"/>
        <v>-1.7833333333333338E-3</v>
      </c>
      <c r="Z109" s="4">
        <f t="shared" si="15"/>
        <v>-0.50189123258115609</v>
      </c>
      <c r="AA109" s="37">
        <f t="shared" si="20"/>
        <v>2.1554149374730458</v>
      </c>
      <c r="AB109" s="35"/>
      <c r="AC109" s="205">
        <f t="shared" si="21"/>
        <v>1.3333333333333334E-2</v>
      </c>
      <c r="AD109" s="205">
        <f t="shared" si="22"/>
        <v>7.7499999999999999E-2</v>
      </c>
      <c r="AE109" s="202">
        <f>G109</f>
        <v>0.11749999999999999</v>
      </c>
      <c r="AF109" s="15">
        <f t="shared" si="17"/>
        <v>-0.28583333333333333</v>
      </c>
      <c r="AG109" s="15">
        <f t="shared" si="18"/>
        <v>-0.22583333333333333</v>
      </c>
      <c r="AH109" s="15">
        <f>M109</f>
        <v>-0.18333333333333335</v>
      </c>
      <c r="AI109" s="200">
        <f t="shared" si="23"/>
        <v>-0.15231944444444445</v>
      </c>
      <c r="AK109" s="37">
        <f>AA109-AI109</f>
        <v>2.3077343819174905</v>
      </c>
      <c r="AM109" s="106">
        <f>($G$14*AA109)-($G$15*AI109)</f>
        <v>347.51609642730455</v>
      </c>
    </row>
    <row r="110" spans="1:39" x14ac:dyDescent="0.2">
      <c r="A110" s="24">
        <v>44316</v>
      </c>
      <c r="B110" s="4"/>
      <c r="C110" s="25">
        <v>4.0499999999999998E-3</v>
      </c>
      <c r="D110" s="4"/>
      <c r="E110" s="15">
        <v>1.4166666666666668E-2</v>
      </c>
      <c r="F110" s="4">
        <v>7.7499999999999999E-2</v>
      </c>
      <c r="G110" s="4">
        <v>0.1125</v>
      </c>
      <c r="H110" s="15">
        <v>0.41775962262956545</v>
      </c>
      <c r="I110" s="15">
        <v>0.62538663484108525</v>
      </c>
      <c r="J110" s="4">
        <f t="shared" si="19"/>
        <v>0.51410013668815591</v>
      </c>
      <c r="K110" s="15">
        <v>-0.27166666666666667</v>
      </c>
      <c r="L110" s="4">
        <v>-0.22</v>
      </c>
      <c r="M110" s="16">
        <v>-0.18500000000000003</v>
      </c>
      <c r="N110" s="4"/>
      <c r="O110" s="22">
        <v>3.9217589390000001</v>
      </c>
      <c r="P110" s="22">
        <v>4.2574648469999996</v>
      </c>
      <c r="Q110" s="22">
        <v>8.7652277010000006</v>
      </c>
      <c r="R110" s="16">
        <f t="shared" si="24"/>
        <v>8.2286664564377219</v>
      </c>
      <c r="S110" s="4"/>
      <c r="T110" s="22">
        <v>5.7164740580000002</v>
      </c>
      <c r="U110" s="4">
        <f t="shared" si="25"/>
        <v>5.0714150347311193</v>
      </c>
      <c r="V110" s="22">
        <v>0.59847007100000005</v>
      </c>
      <c r="W110" s="4">
        <f t="shared" si="26"/>
        <v>0.37875447695043551</v>
      </c>
      <c r="X110" s="4">
        <v>5.8333333333333336E-3</v>
      </c>
      <c r="Y110" s="4">
        <f t="shared" si="16"/>
        <v>-1.7833333333333338E-3</v>
      </c>
      <c r="Z110" s="4">
        <f t="shared" si="15"/>
        <v>0.37697114361710216</v>
      </c>
      <c r="AA110" s="37">
        <f t="shared" si="20"/>
        <v>2.3109716137805942</v>
      </c>
      <c r="AB110" s="35"/>
      <c r="AC110" s="205">
        <f t="shared" si="21"/>
        <v>1.4166666666666668E-2</v>
      </c>
      <c r="AD110" s="205">
        <f t="shared" si="22"/>
        <v>7.7499999999999999E-2</v>
      </c>
      <c r="AE110" s="202">
        <f>G110</f>
        <v>0.1125</v>
      </c>
      <c r="AF110" s="15">
        <f t="shared" si="17"/>
        <v>-0.27166666666666667</v>
      </c>
      <c r="AG110" s="15">
        <f t="shared" si="18"/>
        <v>-0.22</v>
      </c>
      <c r="AH110" s="15">
        <f>M110</f>
        <v>-0.18500000000000003</v>
      </c>
      <c r="AI110" s="200">
        <f t="shared" si="23"/>
        <v>-0.14851388888888892</v>
      </c>
      <c r="AK110" s="37">
        <f>AA110-AI110</f>
        <v>2.4594855026694833</v>
      </c>
      <c r="AM110" s="106">
        <f>($G$14*AA110)-($G$15*AI110)</f>
        <v>370.36534919186278</v>
      </c>
    </row>
    <row r="111" spans="1:39" x14ac:dyDescent="0.2">
      <c r="A111" s="24">
        <v>44347</v>
      </c>
      <c r="B111" s="4"/>
      <c r="C111" s="25">
        <v>4.1250000000000002E-3</v>
      </c>
      <c r="D111" s="4"/>
      <c r="E111" s="15">
        <v>1.1666666666666667E-2</v>
      </c>
      <c r="F111" s="4">
        <v>7.4166666666666672E-2</v>
      </c>
      <c r="G111" s="4">
        <v>0.11083333333333334</v>
      </c>
      <c r="H111" s="15">
        <v>0.34453723416151272</v>
      </c>
      <c r="I111" s="15">
        <v>0.3950104575871527</v>
      </c>
      <c r="J111" s="4">
        <f t="shared" si="19"/>
        <v>4.9446191706253861E-2</v>
      </c>
      <c r="K111" s="15">
        <v>-0.29416666666666663</v>
      </c>
      <c r="L111" s="4">
        <v>-0.22833333333333336</v>
      </c>
      <c r="M111" s="16">
        <v>-0.1925</v>
      </c>
      <c r="N111" s="4"/>
      <c r="O111" s="22">
        <v>1.2662063320000001</v>
      </c>
      <c r="P111" s="22">
        <v>-0.810449376</v>
      </c>
      <c r="Q111" s="22">
        <v>0.22096703000000001</v>
      </c>
      <c r="R111" s="16">
        <f t="shared" si="24"/>
        <v>1.8225069152875444</v>
      </c>
      <c r="S111" s="4"/>
      <c r="T111" s="22">
        <v>2.355021985</v>
      </c>
      <c r="U111" s="4">
        <f t="shared" si="25"/>
        <v>2.8983005949462237</v>
      </c>
      <c r="V111" s="22">
        <v>0.63306103400000002</v>
      </c>
      <c r="W111" s="4">
        <f t="shared" si="26"/>
        <v>0.58219972259008723</v>
      </c>
      <c r="X111" s="4">
        <v>5.0000000000000001E-3</v>
      </c>
      <c r="Y111" s="4">
        <f t="shared" si="16"/>
        <v>-8.7499999999999991E-4</v>
      </c>
      <c r="Z111" s="4">
        <f t="shared" si="15"/>
        <v>0.58132472259008727</v>
      </c>
      <c r="AA111" s="37">
        <f t="shared" si="20"/>
        <v>0.25176219913533959</v>
      </c>
      <c r="AB111" s="35"/>
      <c r="AC111" s="205">
        <f t="shared" si="21"/>
        <v>1.1666666666666667E-2</v>
      </c>
      <c r="AD111" s="205">
        <f t="shared" si="22"/>
        <v>7.4166666666666672E-2</v>
      </c>
      <c r="AE111" s="202">
        <f>G111</f>
        <v>0.11083333333333334</v>
      </c>
      <c r="AF111" s="15">
        <f t="shared" si="17"/>
        <v>-0.29416666666666663</v>
      </c>
      <c r="AG111" s="15">
        <f t="shared" si="18"/>
        <v>-0.22833333333333336</v>
      </c>
      <c r="AH111" s="15">
        <f>M111</f>
        <v>-0.1925</v>
      </c>
      <c r="AI111" s="200">
        <f t="shared" si="23"/>
        <v>-0.15802777777777779</v>
      </c>
      <c r="AK111" s="37">
        <f>AA111-AI111</f>
        <v>0.40978997691311736</v>
      </c>
      <c r="AM111" s="106">
        <f>($G$14*AA111)-($G$15*AI111)</f>
        <v>61.733710505859378</v>
      </c>
    </row>
    <row r="112" spans="1:39" x14ac:dyDescent="0.2">
      <c r="A112" s="24">
        <v>44377</v>
      </c>
      <c r="B112" s="4"/>
      <c r="C112" s="25">
        <v>4.15E-3</v>
      </c>
      <c r="D112" s="4"/>
      <c r="E112" s="15">
        <v>1.4166666666666668E-2</v>
      </c>
      <c r="F112" s="4">
        <v>6.8333333333333329E-2</v>
      </c>
      <c r="G112" s="4">
        <v>0.105</v>
      </c>
      <c r="H112" s="15">
        <v>0.88899758196907541</v>
      </c>
      <c r="I112" s="15">
        <v>0.77723012072922204</v>
      </c>
      <c r="J112" s="4">
        <f t="shared" si="19"/>
        <v>1.3505596154423261</v>
      </c>
      <c r="K112" s="15">
        <v>-0.26333333333333336</v>
      </c>
      <c r="L112" s="4">
        <v>-0.2225</v>
      </c>
      <c r="M112" s="16">
        <v>-0.18833333333333332</v>
      </c>
      <c r="N112" s="4"/>
      <c r="O112" s="22">
        <v>-0.154449166</v>
      </c>
      <c r="P112" s="22">
        <v>3.7999838869999998</v>
      </c>
      <c r="Q112" s="22">
        <v>3.1302038940000001</v>
      </c>
      <c r="R112" s="16">
        <f t="shared" si="24"/>
        <v>2.8686644982575094</v>
      </c>
      <c r="S112" s="4"/>
      <c r="T112" s="22">
        <v>-0.88575250500000002</v>
      </c>
      <c r="U112" s="4">
        <f t="shared" si="25"/>
        <v>-0.12894188501075532</v>
      </c>
      <c r="V112" s="22">
        <v>0.247716139</v>
      </c>
      <c r="W112" s="4">
        <f t="shared" si="26"/>
        <v>0.31461285571801745</v>
      </c>
      <c r="X112" s="4">
        <v>6.6666666666666671E-3</v>
      </c>
      <c r="Y112" s="4">
        <f t="shared" si="16"/>
        <v>-2.5166666666666671E-3</v>
      </c>
      <c r="Z112" s="4">
        <f t="shared" si="15"/>
        <v>0.31209618905135078</v>
      </c>
      <c r="AA112" s="37">
        <f t="shared" si="20"/>
        <v>1.1935119946777377</v>
      </c>
      <c r="AB112" s="35"/>
      <c r="AC112" s="205">
        <f t="shared" si="21"/>
        <v>1.4166666666666668E-2</v>
      </c>
      <c r="AD112" s="205">
        <f t="shared" si="22"/>
        <v>6.8333333333333329E-2</v>
      </c>
      <c r="AE112" s="202">
        <f>G112</f>
        <v>0.105</v>
      </c>
      <c r="AF112" s="15">
        <f t="shared" si="17"/>
        <v>-0.26333333333333336</v>
      </c>
      <c r="AG112" s="15">
        <f t="shared" si="18"/>
        <v>-0.2225</v>
      </c>
      <c r="AH112" s="15">
        <f>M112</f>
        <v>-0.18833333333333332</v>
      </c>
      <c r="AI112" s="200">
        <f t="shared" si="23"/>
        <v>-0.14997222222222226</v>
      </c>
      <c r="AK112" s="37">
        <f>AA112-AI112</f>
        <v>1.3434842168999599</v>
      </c>
      <c r="AM112" s="106">
        <f>($G$14*AA112)-($G$15*AI112)</f>
        <v>202.32345005197107</v>
      </c>
    </row>
    <row r="113" spans="1:39" x14ac:dyDescent="0.2">
      <c r="A113" s="24">
        <v>44408</v>
      </c>
      <c r="B113" s="4"/>
      <c r="C113" s="25">
        <v>4.2166666666666698E-3</v>
      </c>
      <c r="D113" s="4"/>
      <c r="E113" s="15">
        <v>1.1666666666666667E-2</v>
      </c>
      <c r="F113" s="4">
        <v>5.4166666666666669E-2</v>
      </c>
      <c r="G113" s="4">
        <v>8.5000000000000006E-2</v>
      </c>
      <c r="H113" s="15">
        <v>1.6404399123241542</v>
      </c>
      <c r="I113" s="15">
        <v>0.42632494300075541</v>
      </c>
      <c r="J113" s="4">
        <f t="shared" si="19"/>
        <v>-0.10003282359194454</v>
      </c>
      <c r="K113" s="15">
        <v>-0.28333333333333333</v>
      </c>
      <c r="L113" s="4">
        <v>-0.24583333333333335</v>
      </c>
      <c r="M113" s="16">
        <v>-0.21249999999999999</v>
      </c>
      <c r="N113" s="4"/>
      <c r="O113" s="22">
        <v>0.233684953</v>
      </c>
      <c r="P113" s="22">
        <v>1.367138864</v>
      </c>
      <c r="Q113" s="22">
        <v>5.1044065009999997</v>
      </c>
      <c r="R113" s="16">
        <f t="shared" si="24"/>
        <v>4.6572581004515019</v>
      </c>
      <c r="S113" s="4"/>
      <c r="T113" s="22">
        <v>7.4130085220000002</v>
      </c>
      <c r="U113" s="4">
        <f t="shared" si="25"/>
        <v>5.9046184405978499</v>
      </c>
      <c r="V113" s="22">
        <v>-0.33673700299999998</v>
      </c>
      <c r="W113" s="4">
        <f t="shared" si="26"/>
        <v>-0.20646703125639648</v>
      </c>
      <c r="X113" s="4">
        <v>8.3333333333333332E-3</v>
      </c>
      <c r="Y113" s="4">
        <f t="shared" si="16"/>
        <v>-4.1166666666666634E-3</v>
      </c>
      <c r="Z113" s="4">
        <f t="shared" si="15"/>
        <v>-0.21058369792306314</v>
      </c>
      <c r="AA113" s="37">
        <f t="shared" si="20"/>
        <v>1.088562294937061</v>
      </c>
      <c r="AB113" s="35"/>
      <c r="AC113" s="205">
        <f t="shared" si="21"/>
        <v>1.1666666666666667E-2</v>
      </c>
      <c r="AD113" s="205">
        <f t="shared" si="22"/>
        <v>5.4166666666666669E-2</v>
      </c>
      <c r="AE113" s="202">
        <f>G113</f>
        <v>8.5000000000000006E-2</v>
      </c>
      <c r="AF113" s="15">
        <f t="shared" si="17"/>
        <v>-0.28333333333333333</v>
      </c>
      <c r="AG113" s="15">
        <f t="shared" si="18"/>
        <v>-0.24583333333333335</v>
      </c>
      <c r="AH113" s="15">
        <f>M113</f>
        <v>-0.21249999999999999</v>
      </c>
      <c r="AI113" s="200">
        <f t="shared" si="23"/>
        <v>-0.17026388888888891</v>
      </c>
      <c r="AK113" s="37">
        <f>AA113-AI113</f>
        <v>1.25882618382595</v>
      </c>
      <c r="AM113" s="106">
        <f>($G$14*AA113)-($G$15*AI113)</f>
        <v>189.57983142134628</v>
      </c>
    </row>
    <row r="114" spans="1:39" x14ac:dyDescent="0.2">
      <c r="A114" s="24">
        <v>44439</v>
      </c>
      <c r="B114" s="4"/>
      <c r="C114" s="25">
        <v>4.1999999999999997E-3</v>
      </c>
      <c r="D114" s="4"/>
      <c r="E114" s="15">
        <v>1.7499999999999998E-2</v>
      </c>
      <c r="F114" s="4">
        <v>5.9166666666666666E-2</v>
      </c>
      <c r="G114" s="4">
        <v>9.1666666666666674E-2</v>
      </c>
      <c r="H114" s="15">
        <v>-0.19596708134476115</v>
      </c>
      <c r="I114" s="15">
        <v>0.41203309524585618</v>
      </c>
      <c r="J114" s="4">
        <f t="shared" si="19"/>
        <v>0.39059532361350735</v>
      </c>
      <c r="K114" s="15">
        <v>-0.28499999999999998</v>
      </c>
      <c r="L114" s="4">
        <v>-0.245</v>
      </c>
      <c r="M114" s="16">
        <v>-0.21166666666666667</v>
      </c>
      <c r="N114" s="4"/>
      <c r="O114" s="22">
        <v>2.078347564</v>
      </c>
      <c r="P114" s="22">
        <v>3.3394399419999998</v>
      </c>
      <c r="Q114" s="22">
        <v>3.099074661</v>
      </c>
      <c r="R114" s="16">
        <f t="shared" si="24"/>
        <v>3.4107113488903007</v>
      </c>
      <c r="S114" s="4"/>
      <c r="T114" s="22">
        <v>4.2496040329999998</v>
      </c>
      <c r="U114" s="4">
        <f t="shared" si="25"/>
        <v>4.5806069145195698</v>
      </c>
      <c r="V114" s="22">
        <v>0.108760097</v>
      </c>
      <c r="W114" s="4">
        <f t="shared" si="26"/>
        <v>4.571467134872071E-2</v>
      </c>
      <c r="X114" s="4">
        <v>7.4999999999999997E-3</v>
      </c>
      <c r="Y114" s="4">
        <f t="shared" si="16"/>
        <v>-3.3E-3</v>
      </c>
      <c r="Z114" s="4">
        <f t="shared" si="15"/>
        <v>4.2414671348720713E-2</v>
      </c>
      <c r="AA114" s="37">
        <f t="shared" si="20"/>
        <v>1.4799167353491935</v>
      </c>
      <c r="AB114" s="35"/>
      <c r="AC114" s="205">
        <f t="shared" si="21"/>
        <v>1.7499999999999998E-2</v>
      </c>
      <c r="AD114" s="205">
        <f t="shared" si="22"/>
        <v>5.9166666666666666E-2</v>
      </c>
      <c r="AE114" s="202">
        <f>G114</f>
        <v>9.1666666666666674E-2</v>
      </c>
      <c r="AF114" s="15">
        <f t="shared" si="17"/>
        <v>-0.28499999999999998</v>
      </c>
      <c r="AG114" s="15">
        <f t="shared" si="18"/>
        <v>-0.245</v>
      </c>
      <c r="AH114" s="15">
        <f>M114</f>
        <v>-0.21166666666666667</v>
      </c>
      <c r="AI114" s="200">
        <f t="shared" si="23"/>
        <v>-0.16869444444444445</v>
      </c>
      <c r="AK114" s="37">
        <f>AA114-AI114</f>
        <v>1.648611179793638</v>
      </c>
      <c r="AM114" s="106">
        <f>($G$14*AA114)-($G$15*AI114)</f>
        <v>248.27151134382336</v>
      </c>
    </row>
    <row r="115" spans="1:39" x14ac:dyDescent="0.2">
      <c r="A115" s="24">
        <v>44469</v>
      </c>
      <c r="B115" s="4"/>
      <c r="C115" s="25">
        <v>4.1666666666666701E-3</v>
      </c>
      <c r="D115" s="4"/>
      <c r="E115" s="15">
        <v>3.6666666666666667E-2</v>
      </c>
      <c r="F115" s="4">
        <v>8.666666666666667E-2</v>
      </c>
      <c r="G115" s="4">
        <v>0.11916666666666666</v>
      </c>
      <c r="H115" s="15">
        <v>-2.7538144131323161</v>
      </c>
      <c r="I115" s="15">
        <v>-0.36579869921501418</v>
      </c>
      <c r="J115" s="4">
        <f t="shared" si="19"/>
        <v>-1.5325463909063197</v>
      </c>
      <c r="K115" s="15">
        <v>-0.3116666666666667</v>
      </c>
      <c r="L115" s="4">
        <v>-0.23333333333333331</v>
      </c>
      <c r="M115" s="16">
        <v>-0.19333333333333333</v>
      </c>
      <c r="N115" s="4"/>
      <c r="O115" s="22">
        <v>-0.40615250600000002</v>
      </c>
      <c r="P115" s="22">
        <v>-1.679188519</v>
      </c>
      <c r="Q115" s="22">
        <v>-0.96992436900000001</v>
      </c>
      <c r="R115" s="16">
        <f t="shared" si="24"/>
        <v>-9.3797225421939912E-2</v>
      </c>
      <c r="S115" s="4"/>
      <c r="T115" s="22">
        <v>-6.6082938120000003</v>
      </c>
      <c r="U115" s="4">
        <f t="shared" si="25"/>
        <v>-4.3705136666960867</v>
      </c>
      <c r="V115" s="22">
        <v>-1.338564614</v>
      </c>
      <c r="W115" s="4">
        <f t="shared" si="26"/>
        <v>-1.0617087569302559</v>
      </c>
      <c r="X115" s="4">
        <v>6.6666666666666671E-3</v>
      </c>
      <c r="Y115" s="4">
        <f t="shared" si="16"/>
        <v>-2.499999999999997E-3</v>
      </c>
      <c r="Z115" s="4">
        <f t="shared" si="15"/>
        <v>-1.0642087569302559</v>
      </c>
      <c r="AA115" s="37">
        <f t="shared" si="20"/>
        <v>-1.3312319193447704</v>
      </c>
      <c r="AB115" s="35"/>
      <c r="AC115" s="205">
        <f t="shared" si="21"/>
        <v>3.6666666666666667E-2</v>
      </c>
      <c r="AD115" s="205">
        <f t="shared" si="22"/>
        <v>8.666666666666667E-2</v>
      </c>
      <c r="AE115" s="202">
        <f>G115</f>
        <v>0.11916666666666666</v>
      </c>
      <c r="AF115" s="15">
        <f t="shared" si="17"/>
        <v>-0.3116666666666667</v>
      </c>
      <c r="AG115" s="15">
        <f t="shared" si="18"/>
        <v>-0.23333333333333331</v>
      </c>
      <c r="AH115" s="15">
        <f>M115</f>
        <v>-0.19333333333333333</v>
      </c>
      <c r="AI115" s="200">
        <f t="shared" si="23"/>
        <v>-0.15962500000000002</v>
      </c>
      <c r="AK115" s="37">
        <f>AA115-AI115</f>
        <v>-1.1716069193447702</v>
      </c>
      <c r="AM115" s="106">
        <f>($G$14*AA115)-($G$15*AI115)</f>
        <v>-176.385222541264</v>
      </c>
    </row>
    <row r="116" spans="1:39" x14ac:dyDescent="0.2">
      <c r="A116" s="24">
        <v>44500</v>
      </c>
      <c r="B116" s="4"/>
      <c r="C116" s="25">
        <v>4.1833333333333297E-3</v>
      </c>
      <c r="D116" s="4"/>
      <c r="E116" s="15">
        <v>5.9166666666666666E-2</v>
      </c>
      <c r="F116" s="4">
        <v>8.666666666666667E-2</v>
      </c>
      <c r="G116" s="4">
        <v>9.9166666666666667E-2</v>
      </c>
      <c r="H116" s="15">
        <v>0.76644487649407678</v>
      </c>
      <c r="I116" s="15">
        <v>-0.19333880228121769</v>
      </c>
      <c r="J116" s="4">
        <f t="shared" si="19"/>
        <v>6.5351043119477037E-2</v>
      </c>
      <c r="K116" s="15">
        <v>-0.3133333333333333</v>
      </c>
      <c r="L116" s="4">
        <v>-0.245</v>
      </c>
      <c r="M116" s="16">
        <v>-0.21083333333333332</v>
      </c>
      <c r="N116" s="4"/>
      <c r="O116" s="22">
        <v>2.5394406219999999</v>
      </c>
      <c r="P116" s="22">
        <v>3.378254509</v>
      </c>
      <c r="Q116" s="22">
        <v>7.4456341989999997</v>
      </c>
      <c r="R116" s="16">
        <f t="shared" si="24"/>
        <v>5.9377479141156115</v>
      </c>
      <c r="S116" s="4"/>
      <c r="T116" s="22">
        <v>3.7139846940000001</v>
      </c>
      <c r="U116" s="4">
        <f t="shared" si="25"/>
        <v>2.0970850218607828</v>
      </c>
      <c r="V116" s="22">
        <v>1.0796025849999999</v>
      </c>
      <c r="W116" s="4">
        <f t="shared" si="26"/>
        <v>0.65134031661394887</v>
      </c>
      <c r="X116" s="4">
        <v>6.6666666666666671E-3</v>
      </c>
      <c r="Y116" s="4">
        <f t="shared" si="16"/>
        <v>-2.4833333333333374E-3</v>
      </c>
      <c r="Z116" s="4">
        <f t="shared" si="15"/>
        <v>0.64885698328061547</v>
      </c>
      <c r="AA116" s="37">
        <f t="shared" si="20"/>
        <v>1.7130121087748451</v>
      </c>
      <c r="AB116" s="35"/>
      <c r="AC116" s="205">
        <f t="shared" si="21"/>
        <v>5.9166666666666666E-2</v>
      </c>
      <c r="AD116" s="205">
        <f t="shared" si="22"/>
        <v>8.666666666666667E-2</v>
      </c>
      <c r="AE116" s="202">
        <f>G116</f>
        <v>9.9166666666666667E-2</v>
      </c>
      <c r="AF116" s="15">
        <f t="shared" si="17"/>
        <v>-0.3133333333333333</v>
      </c>
      <c r="AG116" s="15">
        <f t="shared" si="18"/>
        <v>-0.245</v>
      </c>
      <c r="AH116" s="15">
        <f>M116</f>
        <v>-0.21083333333333332</v>
      </c>
      <c r="AI116" s="200">
        <f t="shared" si="23"/>
        <v>-0.16800000000000001</v>
      </c>
      <c r="AK116" s="37">
        <f>AA116-AI116</f>
        <v>1.881012108774845</v>
      </c>
      <c r="AM116" s="106">
        <f>($G$14*AA116)-($G$15*AI116)</f>
        <v>283.26520947581434</v>
      </c>
    </row>
    <row r="117" spans="1:39" x14ac:dyDescent="0.2">
      <c r="A117" s="24">
        <v>44530</v>
      </c>
      <c r="B117" s="4"/>
      <c r="C117" s="25">
        <v>3.8999999999999998E-3</v>
      </c>
      <c r="D117" s="4"/>
      <c r="E117" s="15">
        <v>4.1666666666666664E-2</v>
      </c>
      <c r="F117" s="4">
        <v>6.8333333333333329E-2</v>
      </c>
      <c r="G117" s="4">
        <v>8.3333333333333329E-2</v>
      </c>
      <c r="H117" s="15">
        <v>1.0468941770891971</v>
      </c>
      <c r="I117" s="15">
        <v>-1.150286407851342</v>
      </c>
      <c r="J117" s="4">
        <f t="shared" si="19"/>
        <v>-2.5857078162065283</v>
      </c>
      <c r="K117" s="15">
        <v>-0.35833333333333334</v>
      </c>
      <c r="L117" s="4">
        <v>-0.27750000000000002</v>
      </c>
      <c r="M117" s="16">
        <v>-0.23416666666666666</v>
      </c>
      <c r="N117" s="4"/>
      <c r="O117" s="22">
        <v>-2.2894677959999998</v>
      </c>
      <c r="P117" s="22">
        <v>1.642453473</v>
      </c>
      <c r="Q117" s="22">
        <v>-4.9385905000000001E-2</v>
      </c>
      <c r="R117" s="16">
        <f t="shared" si="24"/>
        <v>1.1480408588231223</v>
      </c>
      <c r="S117" s="4"/>
      <c r="T117" s="22">
        <v>2.9178018309999998</v>
      </c>
      <c r="U117" s="4">
        <f t="shared" si="25"/>
        <v>2.7536584691721564</v>
      </c>
      <c r="V117" s="22">
        <v>-1.4806825340000001</v>
      </c>
      <c r="W117" s="4">
        <f t="shared" si="26"/>
        <v>-1.0542779638772104</v>
      </c>
      <c r="X117" s="4">
        <v>6.6666666666666671E-3</v>
      </c>
      <c r="Y117" s="4">
        <f t="shared" si="16"/>
        <v>-2.7666666666666673E-3</v>
      </c>
      <c r="Z117" s="4">
        <f t="shared" si="15"/>
        <v>-1.057044630543877</v>
      </c>
      <c r="AA117" s="37">
        <f t="shared" si="20"/>
        <v>0.3416951439283733</v>
      </c>
      <c r="AB117" s="35"/>
      <c r="AC117" s="205">
        <f t="shared" si="21"/>
        <v>4.1666666666666664E-2</v>
      </c>
      <c r="AD117" s="205">
        <f t="shared" si="22"/>
        <v>6.8333333333333329E-2</v>
      </c>
      <c r="AE117" s="202">
        <f>G117</f>
        <v>8.3333333333333329E-2</v>
      </c>
      <c r="AF117" s="15">
        <f t="shared" si="17"/>
        <v>-0.35833333333333334</v>
      </c>
      <c r="AG117" s="15">
        <f t="shared" si="18"/>
        <v>-0.27750000000000002</v>
      </c>
      <c r="AH117" s="15">
        <f>M117</f>
        <v>-0.23416666666666666</v>
      </c>
      <c r="AI117" s="200">
        <f t="shared" si="23"/>
        <v>-0.19690277777777779</v>
      </c>
      <c r="AK117" s="37">
        <f>AA117-AI117</f>
        <v>0.53859792170615106</v>
      </c>
      <c r="AM117" s="106">
        <f>($G$14*AA117)-($G$15*AI117)</f>
        <v>81.136251633355215</v>
      </c>
    </row>
    <row r="118" spans="1:39" x14ac:dyDescent="0.2">
      <c r="A118" s="24">
        <v>44561</v>
      </c>
      <c r="B118" s="4"/>
      <c r="C118" s="25">
        <v>9.5083333333333304E-3</v>
      </c>
      <c r="D118" s="4"/>
      <c r="E118" s="15">
        <v>5.7499999999999996E-2</v>
      </c>
      <c r="F118" s="4">
        <v>8.1666666666666665E-2</v>
      </c>
      <c r="G118" s="4">
        <v>0.10166666666666667</v>
      </c>
      <c r="H118" s="15">
        <v>-1.0572012874655701</v>
      </c>
      <c r="I118" s="15">
        <v>1.8147767041663099</v>
      </c>
      <c r="J118" s="4">
        <f t="shared" si="19"/>
        <v>6.2623713721927876</v>
      </c>
      <c r="K118" s="15">
        <v>-0.29749999999999999</v>
      </c>
      <c r="L118" s="4">
        <v>-0.24083333333333334</v>
      </c>
      <c r="M118" s="16">
        <v>-0.20750000000000002</v>
      </c>
      <c r="N118" s="4"/>
      <c r="O118" s="22">
        <v>4.7778321459999997</v>
      </c>
      <c r="P118" s="22">
        <v>2.159278026</v>
      </c>
      <c r="Q118" s="22">
        <v>0.192988406</v>
      </c>
      <c r="R118" s="16">
        <f t="shared" si="24"/>
        <v>0.38399889656462449</v>
      </c>
      <c r="S118" s="4"/>
      <c r="T118" s="22">
        <v>3.6084762399999999</v>
      </c>
      <c r="U118" s="4">
        <f t="shared" si="25"/>
        <v>3.4375126858344318</v>
      </c>
      <c r="V118" s="22">
        <v>0.80978372700000001</v>
      </c>
      <c r="W118" s="4">
        <f t="shared" si="26"/>
        <v>0.43697138882455799</v>
      </c>
      <c r="X118" s="4">
        <v>6.6666666666666671E-3</v>
      </c>
      <c r="Y118" s="4">
        <f t="shared" si="16"/>
        <v>2.8416666666666634E-3</v>
      </c>
      <c r="Z118" s="4">
        <f t="shared" si="15"/>
        <v>0.43981305549122468</v>
      </c>
      <c r="AA118" s="37">
        <f t="shared" si="20"/>
        <v>1.3592930931331151</v>
      </c>
      <c r="AB118" s="35"/>
      <c r="AC118" s="205">
        <f t="shared" si="21"/>
        <v>5.7499999999999996E-2</v>
      </c>
      <c r="AD118" s="205">
        <f t="shared" si="22"/>
        <v>8.1666666666666665E-2</v>
      </c>
      <c r="AE118" s="202">
        <f>G118</f>
        <v>0.10166666666666667</v>
      </c>
      <c r="AF118" s="15">
        <f t="shared" si="17"/>
        <v>-0.29749999999999999</v>
      </c>
      <c r="AG118" s="15">
        <f t="shared" si="18"/>
        <v>-0.24083333333333334</v>
      </c>
      <c r="AH118" s="15">
        <f>M118</f>
        <v>-0.20750000000000002</v>
      </c>
      <c r="AI118" s="200">
        <f t="shared" si="23"/>
        <v>-0.16315277777777779</v>
      </c>
      <c r="AK118" s="37">
        <f>AA118-AI118</f>
        <v>1.5224458709108928</v>
      </c>
      <c r="AM118" s="106">
        <f>($G$14*AA118)-($G$15*AI118)</f>
        <v>229.27310468136398</v>
      </c>
    </row>
    <row r="119" spans="1:39" x14ac:dyDescent="0.2">
      <c r="A119" s="24">
        <v>44592</v>
      </c>
      <c r="B119" s="4"/>
      <c r="C119" s="25">
        <v>1.6316666666666702E-2</v>
      </c>
      <c r="D119" s="4"/>
      <c r="E119" s="15">
        <v>8.666666666666667E-2</v>
      </c>
      <c r="F119" s="4">
        <v>0.11</v>
      </c>
      <c r="G119" s="4">
        <v>0.1275</v>
      </c>
      <c r="H119" s="15">
        <v>-3.9390797922347232</v>
      </c>
      <c r="I119" s="15">
        <v>-2.3735665522797711</v>
      </c>
      <c r="J119" s="4">
        <f t="shared" si="19"/>
        <v>-8.6560814369488916</v>
      </c>
      <c r="K119" s="15">
        <v>-0.29833333333333334</v>
      </c>
      <c r="L119" s="4">
        <v>-0.23083333333333333</v>
      </c>
      <c r="M119" s="16">
        <v>-0.19333333333333333</v>
      </c>
      <c r="N119" s="4"/>
      <c r="O119" s="22">
        <v>1.3871401000000001</v>
      </c>
      <c r="P119" s="22">
        <v>-5.5351432269999998</v>
      </c>
      <c r="Q119" s="22">
        <v>-5.9958490219999998</v>
      </c>
      <c r="R119" s="16">
        <f t="shared" si="24"/>
        <v>-4.7198794382870757</v>
      </c>
      <c r="S119" s="4"/>
      <c r="T119" s="22">
        <v>-3.1367392509999998</v>
      </c>
      <c r="U119" s="4">
        <f t="shared" si="25"/>
        <v>-1.8218888636331139</v>
      </c>
      <c r="V119" s="22">
        <v>-2.0744204829999999</v>
      </c>
      <c r="W119" s="4">
        <f t="shared" si="26"/>
        <v>-1.5721421086350884</v>
      </c>
      <c r="X119" s="4">
        <v>6.6666666666666671E-3</v>
      </c>
      <c r="Y119" s="4">
        <f t="shared" si="16"/>
        <v>9.6500000000000336E-3</v>
      </c>
      <c r="Z119" s="4">
        <f t="shared" ref="Z119:Z165" si="27">W119+Y119</f>
        <v>-1.5624921086350885</v>
      </c>
      <c r="AA119" s="37">
        <f t="shared" si="20"/>
        <v>-2.2568118607420633</v>
      </c>
      <c r="AB119" s="35"/>
      <c r="AC119" s="205">
        <f t="shared" si="21"/>
        <v>8.666666666666667E-2</v>
      </c>
      <c r="AD119" s="205">
        <f t="shared" si="22"/>
        <v>0.11</v>
      </c>
      <c r="AE119" s="202">
        <f>G119</f>
        <v>0.1275</v>
      </c>
      <c r="AF119" s="15">
        <f t="shared" ref="AF119:AF150" si="28">K119</f>
        <v>-0.29833333333333334</v>
      </c>
      <c r="AG119" s="15">
        <f t="shared" ref="AG119:AG150" si="29">L119</f>
        <v>-0.23083333333333333</v>
      </c>
      <c r="AH119" s="15">
        <f>M119</f>
        <v>-0.19333333333333333</v>
      </c>
      <c r="AI119" s="200">
        <f t="shared" si="23"/>
        <v>-0.14984722222222224</v>
      </c>
      <c r="AK119" s="37">
        <f>AA119-AI119</f>
        <v>-2.1069646385198411</v>
      </c>
      <c r="AM119" s="106">
        <f>($G$14*AA119)-($G$15*AI119)</f>
        <v>-317.22876799437182</v>
      </c>
    </row>
    <row r="120" spans="1:39" x14ac:dyDescent="0.2">
      <c r="A120" s="24">
        <v>44620</v>
      </c>
      <c r="B120" s="4"/>
      <c r="C120" s="25">
        <v>3.4991666666666699E-2</v>
      </c>
      <c r="D120" s="4"/>
      <c r="E120" s="15">
        <v>8.8333333333333333E-2</v>
      </c>
      <c r="F120" s="4">
        <v>0.11916666666666666</v>
      </c>
      <c r="G120" s="4">
        <v>0.14083333333333334</v>
      </c>
      <c r="H120" s="15">
        <v>-3.0655598310978971</v>
      </c>
      <c r="I120" s="15">
        <v>-1.1662746970310334</v>
      </c>
      <c r="J120" s="4">
        <f t="shared" ref="J120:J151" si="30">(I120-$D$14*I119)/(1-$D$14)</f>
        <v>0.64466308584207321</v>
      </c>
      <c r="K120" s="15">
        <v>-0.33</v>
      </c>
      <c r="L120" s="4">
        <v>-0.23583333333333334</v>
      </c>
      <c r="M120" s="16">
        <v>-0.1875</v>
      </c>
      <c r="N120" s="4"/>
      <c r="O120" s="22">
        <v>0.63155093900000003</v>
      </c>
      <c r="P120" s="22">
        <v>-1.3366519109999999</v>
      </c>
      <c r="Q120" s="22">
        <v>-2.854766669</v>
      </c>
      <c r="R120" s="16">
        <f t="shared" si="24"/>
        <v>-3.2277892228574152</v>
      </c>
      <c r="S120" s="4"/>
      <c r="T120" s="22">
        <v>-3.1561287340000002</v>
      </c>
      <c r="U120" s="4">
        <f t="shared" si="25"/>
        <v>-2.8892807599266233</v>
      </c>
      <c r="V120" s="22">
        <v>-0.65576967600000002</v>
      </c>
      <c r="W120" s="4">
        <f t="shared" si="26"/>
        <v>-0.83904416252701775</v>
      </c>
      <c r="X120" s="4">
        <v>6.6666666666666671E-3</v>
      </c>
      <c r="Y120" s="4">
        <f t="shared" ref="Y120:Y166" si="31">C120-X120</f>
        <v>2.8325000000000031E-2</v>
      </c>
      <c r="Z120" s="4">
        <f t="shared" si="27"/>
        <v>-0.8107191625270177</v>
      </c>
      <c r="AA120" s="37">
        <f t="shared" si="20"/>
        <v>-1.1072210028407516</v>
      </c>
      <c r="AB120" s="35"/>
      <c r="AC120" s="205">
        <f t="shared" si="21"/>
        <v>8.8333333333333333E-2</v>
      </c>
      <c r="AD120" s="205">
        <f t="shared" si="22"/>
        <v>0.11916666666666666</v>
      </c>
      <c r="AE120" s="202">
        <f>G120</f>
        <v>0.14083333333333334</v>
      </c>
      <c r="AF120" s="15">
        <f t="shared" si="28"/>
        <v>-0.33</v>
      </c>
      <c r="AG120" s="15">
        <f t="shared" si="29"/>
        <v>-0.23583333333333334</v>
      </c>
      <c r="AH120" s="15">
        <f>M120</f>
        <v>-0.1875</v>
      </c>
      <c r="AI120" s="200">
        <f t="shared" si="23"/>
        <v>-0.15408333333333335</v>
      </c>
      <c r="AK120" s="37">
        <f>AA120-AI120</f>
        <v>-0.95313766950741829</v>
      </c>
      <c r="AM120" s="106">
        <f>($G$14*AA120)-($G$15*AI120)</f>
        <v>-143.49019479445502</v>
      </c>
    </row>
    <row r="121" spans="1:39" x14ac:dyDescent="0.2">
      <c r="A121" s="24">
        <v>44651</v>
      </c>
      <c r="B121" s="4"/>
      <c r="C121" s="25">
        <v>4.68583333333333E-2</v>
      </c>
      <c r="D121" s="4"/>
      <c r="E121" s="15">
        <v>0.11749999999999999</v>
      </c>
      <c r="F121" s="4">
        <v>0.13583333333333333</v>
      </c>
      <c r="G121" s="4">
        <v>0.155</v>
      </c>
      <c r="H121" s="15">
        <v>0.25747217049501003</v>
      </c>
      <c r="I121" s="15">
        <v>-0.63178803127763583</v>
      </c>
      <c r="J121" s="4">
        <f t="shared" si="30"/>
        <v>0.16994196735246048</v>
      </c>
      <c r="K121" s="15">
        <v>-0.32833333333333331</v>
      </c>
      <c r="L121" s="4">
        <v>-0.22083333333333333</v>
      </c>
      <c r="M121" s="16">
        <v>-0.17749999999999999</v>
      </c>
      <c r="N121" s="4"/>
      <c r="O121" s="22">
        <v>1.8193106670000001</v>
      </c>
      <c r="P121" s="22">
        <v>5.6133734950000003</v>
      </c>
      <c r="Q121" s="22">
        <v>3.1393657749999999</v>
      </c>
      <c r="R121" s="16">
        <f t="shared" si="24"/>
        <v>1.8659347754285172</v>
      </c>
      <c r="S121" s="4"/>
      <c r="T121" s="22">
        <v>4.0581188949999998</v>
      </c>
      <c r="U121" s="4">
        <f t="shared" si="25"/>
        <v>2.6686389640146757</v>
      </c>
      <c r="V121" s="22">
        <v>-0.20859886899999999</v>
      </c>
      <c r="W121" s="4">
        <f t="shared" si="26"/>
        <v>-0.33468792770540357</v>
      </c>
      <c r="X121" s="4">
        <v>1.6666666666666666E-2</v>
      </c>
      <c r="Y121" s="4">
        <f t="shared" si="31"/>
        <v>3.0191666666666634E-2</v>
      </c>
      <c r="Z121" s="4">
        <f t="shared" si="27"/>
        <v>-0.30449626103873695</v>
      </c>
      <c r="AA121" s="37">
        <f t="shared" si="20"/>
        <v>1.9965489332311821</v>
      </c>
      <c r="AB121" s="35"/>
      <c r="AC121" s="205">
        <f t="shared" si="21"/>
        <v>0.11749999999999999</v>
      </c>
      <c r="AD121" s="205">
        <f t="shared" si="22"/>
        <v>0.13583333333333333</v>
      </c>
      <c r="AE121" s="202">
        <f>G121</f>
        <v>0.155</v>
      </c>
      <c r="AF121" s="15">
        <f t="shared" si="28"/>
        <v>-0.32833333333333331</v>
      </c>
      <c r="AG121" s="15">
        <f t="shared" si="29"/>
        <v>-0.22083333333333333</v>
      </c>
      <c r="AH121" s="15">
        <f>M121</f>
        <v>-0.17749999999999999</v>
      </c>
      <c r="AI121" s="200">
        <f t="shared" si="23"/>
        <v>-0.14195833333333333</v>
      </c>
      <c r="AK121" s="37">
        <f>AA121-AI121</f>
        <v>2.1385072665645155</v>
      </c>
      <c r="AM121" s="106">
        <f>($G$14*AA121)-($G$15*AI121)</f>
        <v>322.03274839361524</v>
      </c>
    </row>
    <row r="122" spans="1:39" x14ac:dyDescent="0.2">
      <c r="A122" s="24">
        <v>44681</v>
      </c>
      <c r="B122" s="4"/>
      <c r="C122" s="25">
        <v>5.7549999999999997E-2</v>
      </c>
      <c r="D122" s="4"/>
      <c r="E122" s="15">
        <v>0.13749999999999998</v>
      </c>
      <c r="F122" s="4">
        <v>0.16</v>
      </c>
      <c r="G122" s="4">
        <v>0.17916666666666667</v>
      </c>
      <c r="H122" s="15">
        <v>-3.7196246230622676</v>
      </c>
      <c r="I122" s="15">
        <v>-3.8067515460266876</v>
      </c>
      <c r="J122" s="4">
        <f t="shared" si="30"/>
        <v>-8.5691968181502656</v>
      </c>
      <c r="K122" s="15">
        <v>-0.3066666666666667</v>
      </c>
      <c r="L122" s="4">
        <v>-0.19416666666666668</v>
      </c>
      <c r="M122" s="16">
        <v>-0.14583333333333334</v>
      </c>
      <c r="N122" s="4"/>
      <c r="O122" s="22">
        <v>0.73238924800000005</v>
      </c>
      <c r="P122" s="22">
        <v>-3.3659770010000001</v>
      </c>
      <c r="Q122" s="22">
        <v>-5.6180830420000003</v>
      </c>
      <c r="R122" s="16">
        <f t="shared" si="24"/>
        <v>-4.121279478514297</v>
      </c>
      <c r="S122" s="4"/>
      <c r="T122" s="22">
        <v>-1.7360558770000001</v>
      </c>
      <c r="U122" s="4">
        <f t="shared" si="25"/>
        <v>-0.85511690879706492</v>
      </c>
      <c r="V122" s="22">
        <v>-3.395232295</v>
      </c>
      <c r="W122" s="4">
        <f t="shared" si="26"/>
        <v>-2.7831234215410809</v>
      </c>
      <c r="X122" s="4">
        <v>2.75E-2</v>
      </c>
      <c r="Y122" s="4">
        <f t="shared" si="31"/>
        <v>3.0049999999999997E-2</v>
      </c>
      <c r="Z122" s="4">
        <f t="shared" si="27"/>
        <v>-2.7530734215410808</v>
      </c>
      <c r="AA122" s="37">
        <f t="shared" si="20"/>
        <v>-1.7163787658669345</v>
      </c>
      <c r="AB122" s="35"/>
      <c r="AC122" s="205">
        <f t="shared" si="21"/>
        <v>0.13749999999999998</v>
      </c>
      <c r="AD122" s="205">
        <f t="shared" si="22"/>
        <v>0.16</v>
      </c>
      <c r="AE122" s="202">
        <f>G122</f>
        <v>0.17916666666666667</v>
      </c>
      <c r="AF122" s="15">
        <f t="shared" si="28"/>
        <v>-0.3066666666666667</v>
      </c>
      <c r="AG122" s="15">
        <f t="shared" si="29"/>
        <v>-0.19416666666666668</v>
      </c>
      <c r="AH122" s="15">
        <f>M122</f>
        <v>-0.14583333333333334</v>
      </c>
      <c r="AI122" s="200">
        <f t="shared" si="23"/>
        <v>-0.11594444444444449</v>
      </c>
      <c r="AK122" s="37">
        <f>AA122-AI122</f>
        <v>-1.6004343214224901</v>
      </c>
      <c r="AM122" s="106">
        <f>($G$14*AA122)-($G$15*AI122)</f>
        <v>-240.96416463997954</v>
      </c>
    </row>
    <row r="123" spans="1:39" x14ac:dyDescent="0.2">
      <c r="A123" s="24">
        <v>44712</v>
      </c>
      <c r="B123" s="4"/>
      <c r="C123" s="25">
        <v>7.6316666666666699E-2</v>
      </c>
      <c r="D123" s="4"/>
      <c r="E123" s="15">
        <v>0.13666666666666666</v>
      </c>
      <c r="F123" s="4">
        <v>0.17749999999999999</v>
      </c>
      <c r="G123" s="4">
        <v>0.20833333333333334</v>
      </c>
      <c r="H123" s="15">
        <v>-1.4048041078583484</v>
      </c>
      <c r="I123" s="15">
        <v>0.57843611120165228</v>
      </c>
      <c r="J123" s="4">
        <f t="shared" si="30"/>
        <v>7.1562175970441615</v>
      </c>
      <c r="K123" s="15">
        <v>-0.28833333333333333</v>
      </c>
      <c r="L123" s="4">
        <v>-0.15583333333333335</v>
      </c>
      <c r="M123" s="16">
        <v>-0.105</v>
      </c>
      <c r="N123" s="4"/>
      <c r="O123" s="22">
        <v>1.1894679699999999</v>
      </c>
      <c r="P123" s="22">
        <v>-1.8104899270000001</v>
      </c>
      <c r="Q123" s="22">
        <v>-0.65375825899999995</v>
      </c>
      <c r="R123" s="16">
        <f t="shared" si="24"/>
        <v>-1.3472625029028595</v>
      </c>
      <c r="S123" s="4"/>
      <c r="T123" s="22">
        <v>-5.3126704489999996</v>
      </c>
      <c r="U123" s="4">
        <f t="shared" si="25"/>
        <v>-4.4211597409594132</v>
      </c>
      <c r="V123" s="22">
        <v>-0.33610220000000002</v>
      </c>
      <c r="W123" s="4">
        <f t="shared" si="26"/>
        <v>-0.82550644430821629</v>
      </c>
      <c r="X123" s="4">
        <v>6.4166666666666664E-2</v>
      </c>
      <c r="Y123" s="4">
        <f t="shared" si="31"/>
        <v>1.2150000000000036E-2</v>
      </c>
      <c r="Z123" s="4">
        <f t="shared" si="27"/>
        <v>-0.8133564443082163</v>
      </c>
      <c r="AA123" s="37">
        <f t="shared" si="20"/>
        <v>-0.82038765576752415</v>
      </c>
      <c r="AB123" s="35"/>
      <c r="AC123" s="205">
        <f t="shared" si="21"/>
        <v>0.13666666666666666</v>
      </c>
      <c r="AD123" s="205">
        <f t="shared" si="22"/>
        <v>0.17749999999999999</v>
      </c>
      <c r="AE123" s="202">
        <f>G123</f>
        <v>0.20833333333333334</v>
      </c>
      <c r="AF123" s="15">
        <f t="shared" si="28"/>
        <v>-0.28833333333333333</v>
      </c>
      <c r="AG123" s="15">
        <f t="shared" si="29"/>
        <v>-0.15583333333333335</v>
      </c>
      <c r="AH123" s="15">
        <f>M123</f>
        <v>-0.105</v>
      </c>
      <c r="AI123" s="200">
        <f t="shared" si="23"/>
        <v>-8.6444444444444463E-2</v>
      </c>
      <c r="AK123" s="37">
        <f>AA123-AI123</f>
        <v>-0.73394321132307971</v>
      </c>
      <c r="AM123" s="106">
        <f>($G$14*AA123)-($G$15*AI123)</f>
        <v>-110.49755392305183</v>
      </c>
    </row>
    <row r="124" spans="1:39" x14ac:dyDescent="0.2">
      <c r="A124" s="24">
        <v>44742</v>
      </c>
      <c r="B124" s="4"/>
      <c r="C124" s="25">
        <v>8.9724999999999999E-2</v>
      </c>
      <c r="D124" s="4"/>
      <c r="E124" s="15">
        <v>0.15833333333333333</v>
      </c>
      <c r="F124" s="4">
        <v>0.19083333333333333</v>
      </c>
      <c r="G124" s="4">
        <v>0.22666666666666668</v>
      </c>
      <c r="H124" s="15">
        <v>-3.2863506174682144</v>
      </c>
      <c r="I124" s="15">
        <v>-6.6644823303302356</v>
      </c>
      <c r="J124" s="4">
        <f t="shared" si="30"/>
        <v>-17.528859992628067</v>
      </c>
      <c r="K124" s="15">
        <v>-0.15583333333333335</v>
      </c>
      <c r="L124" s="4">
        <v>-0.10083333333333333</v>
      </c>
      <c r="M124" s="16">
        <v>-6.8333333333333329E-2</v>
      </c>
      <c r="N124" s="4"/>
      <c r="O124" s="22">
        <v>-5.5324079460000002</v>
      </c>
      <c r="P124" s="22">
        <v>-5.1385320769999998</v>
      </c>
      <c r="Q124" s="22">
        <v>-9.8029122879999999</v>
      </c>
      <c r="R124" s="16">
        <f t="shared" si="24"/>
        <v>-8.1117823309805726</v>
      </c>
      <c r="S124" s="4"/>
      <c r="T124" s="22">
        <v>-10.60993874</v>
      </c>
      <c r="U124" s="4">
        <f t="shared" si="25"/>
        <v>-9.3721829401918821</v>
      </c>
      <c r="V124" s="22">
        <v>-3.379242037</v>
      </c>
      <c r="W124" s="4">
        <f t="shared" si="26"/>
        <v>-2.8684949184616437</v>
      </c>
      <c r="X124" s="4">
        <v>0.10083333333333333</v>
      </c>
      <c r="Y124" s="4">
        <f t="shared" si="31"/>
        <v>-1.1108333333333331E-2</v>
      </c>
      <c r="Z124" s="4">
        <f t="shared" si="27"/>
        <v>-2.8796032517949772</v>
      </c>
      <c r="AA124" s="37">
        <f t="shared" si="20"/>
        <v>-3.6875242113072275</v>
      </c>
      <c r="AB124" s="35"/>
      <c r="AC124" s="205">
        <f t="shared" si="21"/>
        <v>0.15833333333333333</v>
      </c>
      <c r="AD124" s="205">
        <f t="shared" si="22"/>
        <v>0.19083333333333333</v>
      </c>
      <c r="AE124" s="202">
        <f>G124</f>
        <v>0.22666666666666668</v>
      </c>
      <c r="AF124" s="15">
        <f t="shared" si="28"/>
        <v>-0.15583333333333335</v>
      </c>
      <c r="AG124" s="15">
        <f t="shared" si="29"/>
        <v>-0.10083333333333333</v>
      </c>
      <c r="AH124" s="15">
        <f>M124</f>
        <v>-6.8333333333333329E-2</v>
      </c>
      <c r="AI124" s="200">
        <f t="shared" si="23"/>
        <v>-2.9972222222222226E-2</v>
      </c>
      <c r="AK124" s="37">
        <f>AA124-AI124</f>
        <v>-3.6575519890850052</v>
      </c>
      <c r="AM124" s="106">
        <f>($G$14*AA124)-($G$15*AI124)</f>
        <v>-550.7312087627738</v>
      </c>
    </row>
    <row r="125" spans="1:39" x14ac:dyDescent="0.2">
      <c r="A125" s="24">
        <v>44773</v>
      </c>
      <c r="B125" s="4"/>
      <c r="C125" s="25">
        <v>9.9233333333333298E-2</v>
      </c>
      <c r="D125" s="4"/>
      <c r="E125" s="15">
        <v>0.13749999999999998</v>
      </c>
      <c r="F125" s="4">
        <v>0.16083333333333333</v>
      </c>
      <c r="G125" s="4">
        <v>0.21249999999999999</v>
      </c>
      <c r="H125" s="15">
        <v>4.5191608942772081</v>
      </c>
      <c r="I125" s="15">
        <v>6.4177255459763503</v>
      </c>
      <c r="J125" s="4">
        <f t="shared" si="30"/>
        <v>26.041037360436228</v>
      </c>
      <c r="K125" s="15">
        <v>-0.19666666666666666</v>
      </c>
      <c r="L125" s="4">
        <v>-0.13749999999999998</v>
      </c>
      <c r="M125" s="16">
        <v>-8.9166666666666672E-2</v>
      </c>
      <c r="N125" s="4"/>
      <c r="O125" s="22">
        <v>3.4373119239999999</v>
      </c>
      <c r="P125" s="22">
        <v>7.204985432</v>
      </c>
      <c r="Q125" s="22">
        <v>11.40312963</v>
      </c>
      <c r="R125" s="16">
        <f t="shared" si="24"/>
        <v>7.5001472378038869</v>
      </c>
      <c r="S125" s="4"/>
      <c r="T125" s="22">
        <v>8.1802871570000004</v>
      </c>
      <c r="U125" s="4">
        <f t="shared" si="25"/>
        <v>4.6697931375616246</v>
      </c>
      <c r="V125" s="22">
        <v>1.877112704</v>
      </c>
      <c r="W125" s="4">
        <f t="shared" si="26"/>
        <v>0.9279911795076714</v>
      </c>
      <c r="X125" s="4">
        <v>0.13999999999999999</v>
      </c>
      <c r="Y125" s="4">
        <f t="shared" si="31"/>
        <v>-4.0766666666666687E-2</v>
      </c>
      <c r="Z125" s="4">
        <f t="shared" si="27"/>
        <v>0.88722451284100468</v>
      </c>
      <c r="AA125" s="37">
        <f t="shared" si="20"/>
        <v>3.8214888861569447</v>
      </c>
      <c r="AB125" s="35"/>
      <c r="AC125" s="205">
        <f t="shared" si="21"/>
        <v>0.13749999999999998</v>
      </c>
      <c r="AD125" s="205">
        <f t="shared" si="22"/>
        <v>0.16083333333333333</v>
      </c>
      <c r="AE125" s="202">
        <f>G125</f>
        <v>0.21249999999999999</v>
      </c>
      <c r="AF125" s="15">
        <f t="shared" si="28"/>
        <v>-0.19666666666666666</v>
      </c>
      <c r="AG125" s="15">
        <f t="shared" si="29"/>
        <v>-0.13749999999999998</v>
      </c>
      <c r="AH125" s="15">
        <f>M125</f>
        <v>-8.9166666666666672E-2</v>
      </c>
      <c r="AI125" s="200">
        <f t="shared" si="23"/>
        <v>-5.9916666666666667E-2</v>
      </c>
      <c r="AK125" s="37">
        <f>AA125-AI125</f>
        <v>3.8814055528236113</v>
      </c>
      <c r="AM125" s="106">
        <f>($G$14*AA125)-($G$15*AI125)</f>
        <v>584.45478512277168</v>
      </c>
    </row>
    <row r="126" spans="1:39" x14ac:dyDescent="0.2">
      <c r="A126" s="24">
        <v>44804</v>
      </c>
      <c r="B126" s="4"/>
      <c r="C126" s="25">
        <v>0.13516666666666699</v>
      </c>
      <c r="D126" s="4"/>
      <c r="E126" s="15">
        <v>0.23916666666666667</v>
      </c>
      <c r="F126" s="4">
        <v>0.23833333333333331</v>
      </c>
      <c r="G126" s="4">
        <v>0.27083333333333331</v>
      </c>
      <c r="H126" s="15">
        <v>-7.9023316262838224</v>
      </c>
      <c r="I126" s="15">
        <v>-3.8342345117834853</v>
      </c>
      <c r="J126" s="4">
        <f t="shared" si="30"/>
        <v>-19.212174598423235</v>
      </c>
      <c r="K126" s="15">
        <v>-0.18583333333333332</v>
      </c>
      <c r="L126" s="4">
        <v>-9.0833333333333335E-2</v>
      </c>
      <c r="M126" s="16">
        <v>-4.8333333333333332E-2</v>
      </c>
      <c r="N126" s="4"/>
      <c r="O126" s="22">
        <v>-1.181308936</v>
      </c>
      <c r="P126" s="22">
        <v>1.1398810749999999</v>
      </c>
      <c r="Q126" s="22">
        <v>-0.98980325999999996</v>
      </c>
      <c r="R126" s="16">
        <f t="shared" si="24"/>
        <v>0.70818683956077733</v>
      </c>
      <c r="S126" s="4"/>
      <c r="T126" s="22">
        <v>-10.201969890000001</v>
      </c>
      <c r="U126" s="4">
        <f t="shared" si="25"/>
        <v>-7.2276172844876765</v>
      </c>
      <c r="V126" s="22">
        <v>-1.153280579</v>
      </c>
      <c r="W126" s="4">
        <f t="shared" si="26"/>
        <v>-0.73702622729846579</v>
      </c>
      <c r="X126" s="4">
        <v>0.19416666666666668</v>
      </c>
      <c r="Y126" s="4">
        <f t="shared" si="31"/>
        <v>-5.8999999999999692E-2</v>
      </c>
      <c r="Z126" s="4">
        <f t="shared" si="27"/>
        <v>-0.79602622729846551</v>
      </c>
      <c r="AA126" s="37">
        <f t="shared" si="20"/>
        <v>-1.8267949190726551</v>
      </c>
      <c r="AB126" s="35"/>
      <c r="AC126" s="205">
        <f t="shared" si="21"/>
        <v>0.23916666666666667</v>
      </c>
      <c r="AD126" s="205">
        <f t="shared" si="22"/>
        <v>0.23833333333333331</v>
      </c>
      <c r="AE126" s="202">
        <f>G126</f>
        <v>0.27083333333333331</v>
      </c>
      <c r="AF126" s="15">
        <f t="shared" si="28"/>
        <v>-0.18583333333333332</v>
      </c>
      <c r="AG126" s="15">
        <f t="shared" si="29"/>
        <v>-9.0833333333333335E-2</v>
      </c>
      <c r="AH126" s="15">
        <f>M126</f>
        <v>-4.8333333333333332E-2</v>
      </c>
      <c r="AI126" s="200">
        <f t="shared" si="23"/>
        <v>-1.415277777777779E-2</v>
      </c>
      <c r="AK126" s="37">
        <f>AA126-AI126</f>
        <v>-1.8126421412948774</v>
      </c>
      <c r="AM126" s="106">
        <f>($G$14*AA126)-($G$15*AI126)</f>
        <v>-272.93640088786617</v>
      </c>
    </row>
    <row r="127" spans="1:39" x14ac:dyDescent="0.2">
      <c r="A127" s="24">
        <v>44834</v>
      </c>
      <c r="B127" s="4"/>
      <c r="C127" s="25">
        <v>0.154741666666667</v>
      </c>
      <c r="D127" s="4"/>
      <c r="E127" s="15">
        <v>0.36499999999999999</v>
      </c>
      <c r="F127" s="4">
        <v>0.34166666666666662</v>
      </c>
      <c r="G127" s="4">
        <v>0.32833333333333331</v>
      </c>
      <c r="H127" s="15">
        <v>-8.7850768687040883</v>
      </c>
      <c r="I127" s="15">
        <v>-2.3999678677285918</v>
      </c>
      <c r="J127" s="4">
        <f t="shared" si="30"/>
        <v>-0.24856790164625164</v>
      </c>
      <c r="K127" s="15">
        <v>0</v>
      </c>
      <c r="L127" s="4">
        <v>1.5833333333333335E-2</v>
      </c>
      <c r="M127" s="16">
        <v>8.3333333333333339E-4</v>
      </c>
      <c r="N127" s="4"/>
      <c r="O127" s="22">
        <v>-5.0477651899999998</v>
      </c>
      <c r="P127" s="22">
        <v>-3.901620774</v>
      </c>
      <c r="Q127" s="22">
        <v>-10.727866069999999</v>
      </c>
      <c r="R127" s="16">
        <f t="shared" si="24"/>
        <v>-8.4406554880878453</v>
      </c>
      <c r="S127" s="4"/>
      <c r="T127" s="22">
        <v>-18.003986229999999</v>
      </c>
      <c r="U127" s="4">
        <f t="shared" si="25"/>
        <v>-15.848712440897536</v>
      </c>
      <c r="V127" s="22">
        <v>-4.0440640380000001</v>
      </c>
      <c r="W127" s="4">
        <f t="shared" si="26"/>
        <v>-3.3826564758596933</v>
      </c>
      <c r="X127" s="4">
        <v>0.21333333333333335</v>
      </c>
      <c r="Y127" s="4">
        <f t="shared" si="31"/>
        <v>-5.8591666666666348E-2</v>
      </c>
      <c r="Z127" s="4">
        <f t="shared" si="27"/>
        <v>-3.4412481425263595</v>
      </c>
      <c r="AA127" s="37">
        <f t="shared" si="20"/>
        <v>-4.6868598995851904</v>
      </c>
      <c r="AB127" s="35"/>
      <c r="AC127" s="205">
        <f t="shared" si="21"/>
        <v>0.36499999999999999</v>
      </c>
      <c r="AD127" s="205">
        <f t="shared" si="22"/>
        <v>0.34166666666666662</v>
      </c>
      <c r="AE127" s="202">
        <f>G127</f>
        <v>0.32833333333333331</v>
      </c>
      <c r="AF127" s="15">
        <f t="shared" si="28"/>
        <v>0</v>
      </c>
      <c r="AG127" s="15">
        <f t="shared" si="29"/>
        <v>1.5833333333333335E-2</v>
      </c>
      <c r="AH127" s="15">
        <f>M127</f>
        <v>8.3333333333333339E-4</v>
      </c>
      <c r="AI127" s="200">
        <f t="shared" si="23"/>
        <v>9.0819444444444453E-2</v>
      </c>
      <c r="AK127" s="37">
        <f>AA127-AI127</f>
        <v>-4.777679344029635</v>
      </c>
      <c r="AM127" s="106">
        <f>($G$14*AA127)-($G$15*AI127)</f>
        <v>-719.41719963091339</v>
      </c>
    </row>
    <row r="128" spans="1:39" x14ac:dyDescent="0.2">
      <c r="A128" s="24">
        <v>44865</v>
      </c>
      <c r="B128" s="4"/>
      <c r="C128" s="25">
        <v>0.18214166666666701</v>
      </c>
      <c r="D128" s="4"/>
      <c r="E128" s="15">
        <v>0.28750000000000003</v>
      </c>
      <c r="F128" s="4">
        <v>0.30166666666666669</v>
      </c>
      <c r="G128" s="4">
        <v>0.32166666666666666</v>
      </c>
      <c r="H128" s="15">
        <v>5.2908368561963472</v>
      </c>
      <c r="I128" s="15">
        <v>2.1570201880150464</v>
      </c>
      <c r="J128" s="4">
        <f t="shared" si="30"/>
        <v>8.992502271630503</v>
      </c>
      <c r="K128" s="15">
        <v>-5.5E-2</v>
      </c>
      <c r="L128" s="4">
        <v>1.6666666666666666E-2</v>
      </c>
      <c r="M128" s="16">
        <v>2.8333333333333335E-2</v>
      </c>
      <c r="N128" s="4"/>
      <c r="O128" s="22">
        <v>2.9450202270000001</v>
      </c>
      <c r="P128" s="22">
        <v>2.2897820879999999</v>
      </c>
      <c r="Q128" s="22">
        <v>4.8445318349999997</v>
      </c>
      <c r="R128" s="16">
        <f t="shared" si="24"/>
        <v>2.1874943703824306</v>
      </c>
      <c r="S128" s="4"/>
      <c r="T128" s="22">
        <v>3.3754734420000001</v>
      </c>
      <c r="U128" s="4">
        <f t="shared" si="25"/>
        <v>-0.46936373457950697</v>
      </c>
      <c r="V128" s="22">
        <v>1.539703893</v>
      </c>
      <c r="W128" s="4">
        <f t="shared" si="26"/>
        <v>0.55523181922806142</v>
      </c>
      <c r="X128" s="4">
        <v>0.25666666666666665</v>
      </c>
      <c r="Y128" s="4">
        <f t="shared" si="31"/>
        <v>-7.4524999999999647E-2</v>
      </c>
      <c r="Z128" s="4">
        <f t="shared" si="27"/>
        <v>0.4807068192280618</v>
      </c>
      <c r="AA128" s="37">
        <f t="shared" si="20"/>
        <v>2.2441569439350513</v>
      </c>
      <c r="AB128" s="35"/>
      <c r="AC128" s="205">
        <f t="shared" si="21"/>
        <v>0.28750000000000003</v>
      </c>
      <c r="AD128" s="205">
        <f t="shared" si="22"/>
        <v>0.30166666666666669</v>
      </c>
      <c r="AE128" s="202">
        <f>G128</f>
        <v>0.32166666666666666</v>
      </c>
      <c r="AF128" s="15">
        <f t="shared" si="28"/>
        <v>-5.5E-2</v>
      </c>
      <c r="AG128" s="15">
        <f t="shared" si="29"/>
        <v>1.6666666666666666E-2</v>
      </c>
      <c r="AH128" s="15">
        <f>M128</f>
        <v>2.8333333333333335E-2</v>
      </c>
      <c r="AI128" s="200">
        <f t="shared" si="23"/>
        <v>7.7222222222222234E-2</v>
      </c>
      <c r="AK128" s="37">
        <f>AA128-AI128</f>
        <v>2.166934721712829</v>
      </c>
      <c r="AM128" s="106">
        <f>($G$14*AA128)-($G$15*AI128)</f>
        <v>326.27232762938564</v>
      </c>
    </row>
    <row r="129" spans="1:39" x14ac:dyDescent="0.2">
      <c r="A129" s="24">
        <v>44895</v>
      </c>
      <c r="B129" s="4"/>
      <c r="C129" s="25">
        <v>0.23832500000000001</v>
      </c>
      <c r="D129" s="4"/>
      <c r="E129" s="15">
        <v>0.27083333333333331</v>
      </c>
      <c r="F129" s="4">
        <v>0.27083333333333331</v>
      </c>
      <c r="G129" s="4">
        <v>0.29833333333333334</v>
      </c>
      <c r="H129" s="15">
        <v>4.0024026954521572</v>
      </c>
      <c r="I129" s="15">
        <v>2.1483389757755322</v>
      </c>
      <c r="J129" s="4">
        <f t="shared" si="30"/>
        <v>2.135317157416261</v>
      </c>
      <c r="K129" s="15">
        <v>-5.9166666666666666E-2</v>
      </c>
      <c r="L129" s="4">
        <v>-2.0833333333333332E-2</v>
      </c>
      <c r="M129" s="16">
        <v>0.01</v>
      </c>
      <c r="N129" s="4"/>
      <c r="O129" s="22">
        <v>7.0260115230000002</v>
      </c>
      <c r="P129" s="22">
        <v>0.86516313</v>
      </c>
      <c r="Q129" s="22">
        <v>3.1214800779999998</v>
      </c>
      <c r="R129" s="16">
        <f t="shared" si="24"/>
        <v>2.9346829364764861</v>
      </c>
      <c r="S129" s="4"/>
      <c r="T129" s="22">
        <v>2.236000948</v>
      </c>
      <c r="U129" s="4">
        <f t="shared" si="25"/>
        <v>1.6949280114840988</v>
      </c>
      <c r="V129" s="22">
        <v>3.9229767579999999</v>
      </c>
      <c r="W129" s="4">
        <f t="shared" si="26"/>
        <v>3.2494277702456125</v>
      </c>
      <c r="X129" s="4">
        <v>0.315</v>
      </c>
      <c r="Y129" s="4">
        <f t="shared" si="31"/>
        <v>-7.6674999999999993E-2</v>
      </c>
      <c r="Z129" s="4">
        <f t="shared" si="27"/>
        <v>3.1727527702456126</v>
      </c>
      <c r="AA129" s="37">
        <f t="shared" si="20"/>
        <v>2.5198681337412903</v>
      </c>
      <c r="AB129" s="35"/>
      <c r="AC129" s="205">
        <f t="shared" si="21"/>
        <v>0.27083333333333331</v>
      </c>
      <c r="AD129" s="205">
        <f t="shared" si="22"/>
        <v>0.27083333333333331</v>
      </c>
      <c r="AE129" s="202">
        <f>G129</f>
        <v>0.29833333333333334</v>
      </c>
      <c r="AF129" s="15">
        <f t="shared" si="28"/>
        <v>-5.9166666666666666E-2</v>
      </c>
      <c r="AG129" s="15">
        <f t="shared" si="29"/>
        <v>-2.0833333333333332E-2</v>
      </c>
      <c r="AH129" s="15">
        <f>M129</f>
        <v>0.01</v>
      </c>
      <c r="AI129" s="200">
        <f t="shared" si="23"/>
        <v>5.4416666666666676E-2</v>
      </c>
      <c r="AK129" s="37">
        <f>AA129-AI129</f>
        <v>2.4654514670746237</v>
      </c>
      <c r="AM129" s="106">
        <f>($G$14*AA129)-($G$15*AI129)</f>
        <v>371.22581558796224</v>
      </c>
    </row>
    <row r="130" spans="1:39" x14ac:dyDescent="0.2">
      <c r="A130" s="24">
        <v>44926</v>
      </c>
      <c r="B130" s="4"/>
      <c r="C130" s="25">
        <v>0.26482499999999998</v>
      </c>
      <c r="D130" s="4"/>
      <c r="E130" s="15">
        <v>0.29833333333333334</v>
      </c>
      <c r="F130" s="4">
        <v>0.31083333333333335</v>
      </c>
      <c r="G130" s="4">
        <v>0.34</v>
      </c>
      <c r="H130" s="15">
        <v>-1.3901555540533184</v>
      </c>
      <c r="I130" s="15">
        <v>-0.38312760107288568</v>
      </c>
      <c r="J130" s="4">
        <f t="shared" si="30"/>
        <v>-4.1803274663455126</v>
      </c>
      <c r="K130" s="15">
        <v>2.5833333333333333E-2</v>
      </c>
      <c r="L130" s="4">
        <v>3.3333333333333333E-2</v>
      </c>
      <c r="M130" s="16">
        <v>4.6666666666666669E-2</v>
      </c>
      <c r="N130" s="4"/>
      <c r="O130" s="22">
        <v>-1.230187543</v>
      </c>
      <c r="P130" s="22">
        <v>-3.2199714199999998</v>
      </c>
      <c r="Q130" s="22">
        <v>-5.4659460810000002</v>
      </c>
      <c r="R130" s="16">
        <f t="shared" si="24"/>
        <v>-3.785820277504703</v>
      </c>
      <c r="S130" s="4"/>
      <c r="T130" s="22">
        <v>-0.49599649699999998</v>
      </c>
      <c r="U130" s="4">
        <f t="shared" si="25"/>
        <v>-5.7811595303180197E-2</v>
      </c>
      <c r="V130" s="22">
        <v>-0.76850845400000001</v>
      </c>
      <c r="W130" s="4">
        <f t="shared" si="26"/>
        <v>3.5078790849122465E-2</v>
      </c>
      <c r="X130" s="4">
        <v>0.34166666666666662</v>
      </c>
      <c r="Y130" s="4">
        <f t="shared" si="31"/>
        <v>-7.6841666666666641E-2</v>
      </c>
      <c r="Z130" s="4">
        <f t="shared" si="27"/>
        <v>-4.1762875817544176E-2</v>
      </c>
      <c r="AA130" s="37">
        <f t="shared" si="20"/>
        <v>-1.3850399013585131</v>
      </c>
      <c r="AB130" s="35"/>
      <c r="AC130" s="205">
        <f t="shared" si="21"/>
        <v>0.29833333333333334</v>
      </c>
      <c r="AD130" s="205">
        <f t="shared" si="22"/>
        <v>0.31083333333333335</v>
      </c>
      <c r="AE130" s="202">
        <f>G130</f>
        <v>0.34</v>
      </c>
      <c r="AF130" s="15">
        <f t="shared" si="28"/>
        <v>2.5833333333333333E-2</v>
      </c>
      <c r="AG130" s="15">
        <f t="shared" si="29"/>
        <v>3.3333333333333333E-2</v>
      </c>
      <c r="AH130" s="15">
        <f>M130</f>
        <v>4.6666666666666669E-2</v>
      </c>
      <c r="AI130" s="200">
        <f t="shared" si="23"/>
        <v>0.10613888888888891</v>
      </c>
      <c r="AK130" s="37">
        <f>AA130-AI130</f>
        <v>-1.4911787902474021</v>
      </c>
      <c r="AM130" s="106">
        <f>($G$14*AA130)-($G$15*AI130)</f>
        <v>-224.55441931300928</v>
      </c>
    </row>
    <row r="131" spans="1:39" x14ac:dyDescent="0.2">
      <c r="A131" s="24">
        <v>44957</v>
      </c>
      <c r="B131" s="4"/>
      <c r="C131" s="25">
        <v>0.28562500000000002</v>
      </c>
      <c r="D131" s="4"/>
      <c r="E131" s="15">
        <v>0.26916666666666667</v>
      </c>
      <c r="F131" s="4">
        <v>0.28416666666666668</v>
      </c>
      <c r="G131" s="4">
        <v>0.32</v>
      </c>
      <c r="H131" s="15">
        <v>3.5440496464096305</v>
      </c>
      <c r="I131" s="15">
        <v>2.8976959084528575</v>
      </c>
      <c r="J131" s="4">
        <f t="shared" si="30"/>
        <v>7.8189311727414719</v>
      </c>
      <c r="K131" s="15">
        <v>5.0833333333333335E-2</v>
      </c>
      <c r="L131" s="4">
        <v>1.6666666666666666E-2</v>
      </c>
      <c r="M131" s="16">
        <v>3.1666666666666669E-2</v>
      </c>
      <c r="N131" s="4"/>
      <c r="O131" s="22">
        <v>4.0013224789999997</v>
      </c>
      <c r="P131" s="22">
        <v>4.3165719759999996</v>
      </c>
      <c r="Q131" s="22">
        <v>8.3131929870000008</v>
      </c>
      <c r="R131" s="16">
        <f t="shared" si="24"/>
        <v>5.8933903340990597</v>
      </c>
      <c r="S131" s="4"/>
      <c r="T131" s="22">
        <v>7.507664149</v>
      </c>
      <c r="U131" s="4">
        <f t="shared" si="25"/>
        <v>5.9945690001393643</v>
      </c>
      <c r="V131" s="22">
        <v>2.89595505</v>
      </c>
      <c r="W131" s="4">
        <f t="shared" si="26"/>
        <v>2.3237797981698249</v>
      </c>
      <c r="X131" s="4">
        <v>0.36083333333333334</v>
      </c>
      <c r="Y131" s="4">
        <f t="shared" si="31"/>
        <v>-7.5208333333333321E-2</v>
      </c>
      <c r="Z131" s="4">
        <f t="shared" si="27"/>
        <v>2.2485714648364916</v>
      </c>
      <c r="AA131" s="37">
        <f t="shared" si="20"/>
        <v>3.0698713827378343</v>
      </c>
      <c r="AB131" s="35"/>
      <c r="AC131" s="205">
        <f t="shared" si="21"/>
        <v>0.26916666666666667</v>
      </c>
      <c r="AD131" s="205">
        <f t="shared" si="22"/>
        <v>0.28416666666666668</v>
      </c>
      <c r="AE131" s="202">
        <f>G131</f>
        <v>0.32</v>
      </c>
      <c r="AF131" s="15">
        <f t="shared" si="28"/>
        <v>5.0833333333333335E-2</v>
      </c>
      <c r="AG131" s="15">
        <f t="shared" si="29"/>
        <v>1.6666666666666666E-2</v>
      </c>
      <c r="AH131" s="15">
        <f>M131</f>
        <v>3.1666666666666669E-2</v>
      </c>
      <c r="AI131" s="200">
        <f t="shared" si="23"/>
        <v>9.6111111111111119E-2</v>
      </c>
      <c r="AK131" s="37">
        <f>AA131-AI131</f>
        <v>2.9737602716267233</v>
      </c>
      <c r="AM131" s="106">
        <f>($G$14*AA131)-($G$15*AI131)</f>
        <v>447.75676146410888</v>
      </c>
    </row>
    <row r="132" spans="1:39" x14ac:dyDescent="0.2">
      <c r="A132" s="24">
        <v>44985</v>
      </c>
      <c r="B132" s="4"/>
      <c r="C132" s="25">
        <v>0.32517499999999999</v>
      </c>
      <c r="D132" s="4"/>
      <c r="E132" s="15">
        <v>0.31416666666666665</v>
      </c>
      <c r="F132" s="4">
        <v>0.315</v>
      </c>
      <c r="G132" s="4">
        <v>0.35083333333333333</v>
      </c>
      <c r="H132" s="15">
        <v>-3.0899999052470539</v>
      </c>
      <c r="I132" s="15">
        <v>-0.6313787602458043</v>
      </c>
      <c r="J132" s="4">
        <f t="shared" si="30"/>
        <v>-5.9249907632937964</v>
      </c>
      <c r="K132" s="15">
        <v>5.7499999999999996E-2</v>
      </c>
      <c r="L132" s="4">
        <v>3.4166666666666665E-2</v>
      </c>
      <c r="M132" s="16">
        <v>5.9166666666666666E-2</v>
      </c>
      <c r="N132" s="4"/>
      <c r="O132" s="22">
        <v>1.7899587290000001</v>
      </c>
      <c r="P132" s="22">
        <v>-4.3964699999999999E-4</v>
      </c>
      <c r="Q132" s="22">
        <v>1.62063818</v>
      </c>
      <c r="R132" s="16">
        <f t="shared" si="24"/>
        <v>2.4751886108198122</v>
      </c>
      <c r="S132" s="4"/>
      <c r="T132" s="22">
        <v>-0.34119154800000001</v>
      </c>
      <c r="U132" s="4">
        <f t="shared" si="25"/>
        <v>0.92596056162787299</v>
      </c>
      <c r="V132" s="22">
        <v>-0.82554562899999995</v>
      </c>
      <c r="W132" s="4">
        <f t="shared" si="26"/>
        <v>-0.19568054356603504</v>
      </c>
      <c r="X132" s="4">
        <v>0.38083333333333336</v>
      </c>
      <c r="Y132" s="4">
        <f t="shared" si="31"/>
        <v>-5.5658333333333365E-2</v>
      </c>
      <c r="Z132" s="4">
        <f t="shared" si="27"/>
        <v>-0.2513388768993684</v>
      </c>
      <c r="AA132" s="37">
        <f t="shared" si="20"/>
        <v>-0.16023377056929605</v>
      </c>
      <c r="AB132" s="35"/>
      <c r="AC132" s="205">
        <f t="shared" si="21"/>
        <v>0.31416666666666665</v>
      </c>
      <c r="AD132" s="205">
        <f t="shared" si="22"/>
        <v>0.315</v>
      </c>
      <c r="AE132" s="202">
        <f>G132</f>
        <v>0.35083333333333333</v>
      </c>
      <c r="AF132" s="15">
        <f t="shared" si="28"/>
        <v>5.7499999999999996E-2</v>
      </c>
      <c r="AG132" s="15">
        <f t="shared" si="29"/>
        <v>3.4166666666666665E-2</v>
      </c>
      <c r="AH132" s="15">
        <f>M132</f>
        <v>5.9166666666666666E-2</v>
      </c>
      <c r="AI132" s="200">
        <f t="shared" si="23"/>
        <v>0.11822222222222221</v>
      </c>
      <c r="AK132" s="37">
        <f>AA132-AI132</f>
        <v>-0.27845599279151828</v>
      </c>
      <c r="AM132" s="106">
        <f>($G$14*AA132)-($G$15*AI132)</f>
        <v>-41.950636766985717</v>
      </c>
    </row>
    <row r="133" spans="1:39" x14ac:dyDescent="0.2">
      <c r="A133" s="24">
        <v>45016</v>
      </c>
      <c r="B133" s="4"/>
      <c r="C133" s="25">
        <v>0.33359166666666701</v>
      </c>
      <c r="D133" s="4"/>
      <c r="E133" s="15">
        <v>0.29666666666666669</v>
      </c>
      <c r="F133" s="4">
        <v>0.28999999999999998</v>
      </c>
      <c r="G133" s="4">
        <v>0.32666666666666666</v>
      </c>
      <c r="H133" s="15">
        <v>1.4171659211566712</v>
      </c>
      <c r="I133" s="15">
        <v>0.7470288124141744</v>
      </c>
      <c r="J133" s="4">
        <f t="shared" si="30"/>
        <v>2.8146401714041422</v>
      </c>
      <c r="K133" s="15">
        <v>1.4999999999999999E-2</v>
      </c>
      <c r="L133" s="4">
        <v>-3.3333333333333335E-3</v>
      </c>
      <c r="M133" s="16">
        <v>2.9166666666666664E-2</v>
      </c>
      <c r="N133" s="4"/>
      <c r="O133" s="22">
        <v>-1.9084499690000001</v>
      </c>
      <c r="P133" s="22">
        <v>0.54079562699999995</v>
      </c>
      <c r="Q133" s="22">
        <v>-6.8513440320000001</v>
      </c>
      <c r="R133" s="16">
        <f t="shared" si="24"/>
        <v>-4.9860375034360382</v>
      </c>
      <c r="S133" s="4"/>
      <c r="T133" s="22">
        <v>-7.605123002</v>
      </c>
      <c r="U133" s="4">
        <f t="shared" si="25"/>
        <v>-5.898906289274426</v>
      </c>
      <c r="V133" s="22">
        <v>0.60423943700000005</v>
      </c>
      <c r="W133" s="4">
        <f t="shared" si="26"/>
        <v>0.44425544088679308</v>
      </c>
      <c r="X133" s="4">
        <v>0.38750000000000001</v>
      </c>
      <c r="Y133" s="4">
        <f t="shared" si="31"/>
        <v>-5.3908333333333003E-2</v>
      </c>
      <c r="Z133" s="4">
        <f t="shared" si="27"/>
        <v>0.39034710755346008</v>
      </c>
      <c r="AA133" s="37">
        <f t="shared" si="20"/>
        <v>-0.25809067214290327</v>
      </c>
      <c r="AB133" s="35"/>
      <c r="AC133" s="205">
        <f t="shared" si="21"/>
        <v>0.29666666666666669</v>
      </c>
      <c r="AD133" s="205">
        <f t="shared" si="22"/>
        <v>0.28999999999999998</v>
      </c>
      <c r="AE133" s="202">
        <f>G133</f>
        <v>0.32666666666666666</v>
      </c>
      <c r="AF133" s="15">
        <f t="shared" si="28"/>
        <v>1.4999999999999999E-2</v>
      </c>
      <c r="AG133" s="15">
        <f t="shared" si="29"/>
        <v>-3.3333333333333335E-3</v>
      </c>
      <c r="AH133" s="15">
        <f>M133</f>
        <v>2.9166666666666664E-2</v>
      </c>
      <c r="AI133" s="200">
        <f t="shared" si="23"/>
        <v>8.5291666666666668E-2</v>
      </c>
      <c r="AK133" s="37">
        <f>AA133-AI133</f>
        <v>-0.34338233880956992</v>
      </c>
      <c r="AM133" s="106">
        <f>($G$14*AA133)-($G$15*AI133)</f>
        <v>-51.720793709121352</v>
      </c>
    </row>
    <row r="134" spans="1:39" x14ac:dyDescent="0.2">
      <c r="A134" s="24">
        <v>45046</v>
      </c>
      <c r="B134" s="4"/>
      <c r="C134" s="25">
        <v>0.34811666666666702</v>
      </c>
      <c r="D134" s="4"/>
      <c r="E134" s="15">
        <v>0.31583333333333335</v>
      </c>
      <c r="F134" s="4">
        <v>0.3066666666666667</v>
      </c>
      <c r="G134" s="4">
        <v>0.34416666666666668</v>
      </c>
      <c r="H134" s="15">
        <v>0.26722913248619085</v>
      </c>
      <c r="I134" s="15">
        <v>0.24876778569725699</v>
      </c>
      <c r="J134" s="4">
        <f t="shared" si="30"/>
        <v>-0.49862375437811912</v>
      </c>
      <c r="K134" s="15">
        <v>5.5E-2</v>
      </c>
      <c r="L134" s="4">
        <v>2.9166666666666664E-2</v>
      </c>
      <c r="M134" s="16">
        <v>5.5833333333333339E-2</v>
      </c>
      <c r="N134" s="4"/>
      <c r="O134" s="22">
        <v>3.2408909559999999</v>
      </c>
      <c r="P134" s="22">
        <v>0.30294832300000002</v>
      </c>
      <c r="Q134" s="22">
        <v>0.42606054399999999</v>
      </c>
      <c r="R134" s="16">
        <f t="shared" si="24"/>
        <v>-0.65635906548720757</v>
      </c>
      <c r="S134" s="4"/>
      <c r="T134" s="22">
        <v>6.414985465</v>
      </c>
      <c r="U134" s="4">
        <f t="shared" si="25"/>
        <v>3.9522071141451152</v>
      </c>
      <c r="V134" s="22">
        <v>0.51857189299999995</v>
      </c>
      <c r="W134" s="4">
        <f t="shared" si="26"/>
        <v>0.50370860257735861</v>
      </c>
      <c r="X134" s="4">
        <v>0.40250000000000002</v>
      </c>
      <c r="Y134" s="4">
        <f t="shared" si="31"/>
        <v>-5.4383333333333006E-2</v>
      </c>
      <c r="Z134" s="4">
        <f t="shared" si="27"/>
        <v>0.4493252692440256</v>
      </c>
      <c r="AA134" s="37">
        <f t="shared" si="20"/>
        <v>0.94080499762717185</v>
      </c>
      <c r="AB134" s="35"/>
      <c r="AC134" s="205">
        <f t="shared" si="21"/>
        <v>0.31583333333333335</v>
      </c>
      <c r="AD134" s="205">
        <f t="shared" si="22"/>
        <v>0.3066666666666667</v>
      </c>
      <c r="AE134" s="202">
        <f>G134</f>
        <v>0.34416666666666668</v>
      </c>
      <c r="AF134" s="15">
        <f t="shared" si="28"/>
        <v>5.5E-2</v>
      </c>
      <c r="AG134" s="15">
        <f t="shared" si="29"/>
        <v>2.9166666666666664E-2</v>
      </c>
      <c r="AH134" s="15">
        <f>M134</f>
        <v>5.5833333333333339E-2</v>
      </c>
      <c r="AI134" s="200">
        <f t="shared" si="23"/>
        <v>0.11411111111111112</v>
      </c>
      <c r="AK134" s="37">
        <f>AA134-AI134</f>
        <v>0.82669388651606068</v>
      </c>
      <c r="AM134" s="106">
        <f>($G$14*AA134)-($G$15*AI134)</f>
        <v>124.45834822099991</v>
      </c>
    </row>
    <row r="135" spans="1:39" x14ac:dyDescent="0.2">
      <c r="A135" s="24">
        <v>45077</v>
      </c>
      <c r="B135" s="4"/>
      <c r="C135" s="25">
        <v>0.36273333333333302</v>
      </c>
      <c r="D135" s="4"/>
      <c r="E135" s="15">
        <v>0.36000000000000004</v>
      </c>
      <c r="F135" s="4">
        <v>0.34333333333333332</v>
      </c>
      <c r="G135" s="4">
        <v>0.37666666666666665</v>
      </c>
      <c r="H135" s="15">
        <v>-2.8668852839867753</v>
      </c>
      <c r="I135" s="15">
        <v>-0.51604802383958814</v>
      </c>
      <c r="J135" s="4">
        <f t="shared" si="30"/>
        <v>-1.6632717381448558</v>
      </c>
      <c r="K135" s="15">
        <v>8.3333333333333329E-2</v>
      </c>
      <c r="L135" s="4">
        <v>5.8333333333333327E-2</v>
      </c>
      <c r="M135" s="16">
        <v>9.0000000000000011E-2</v>
      </c>
      <c r="N135" s="4"/>
      <c r="O135" s="22">
        <v>-4.890668067</v>
      </c>
      <c r="P135" s="22">
        <v>0.41443548800000002</v>
      </c>
      <c r="Q135" s="22">
        <v>-0.13047472800000001</v>
      </c>
      <c r="R135" s="16">
        <f t="shared" si="24"/>
        <v>-0.23565159549744152</v>
      </c>
      <c r="S135" s="4"/>
      <c r="T135" s="22">
        <v>-6.1106800769999996</v>
      </c>
      <c r="U135" s="4">
        <f t="shared" si="25"/>
        <v>-4.0981026387709774</v>
      </c>
      <c r="V135" s="22">
        <v>-0.65723109300000004</v>
      </c>
      <c r="W135" s="4">
        <f t="shared" si="26"/>
        <v>-0.4250431538845284</v>
      </c>
      <c r="X135" s="4">
        <v>0.42166666666666663</v>
      </c>
      <c r="Y135" s="4">
        <f t="shared" si="31"/>
        <v>-5.8933333333333615E-2</v>
      </c>
      <c r="Z135" s="4">
        <f t="shared" si="27"/>
        <v>-0.48397648721786202</v>
      </c>
      <c r="AA135" s="37">
        <f t="shared" si="20"/>
        <v>-1.4816122688402813</v>
      </c>
      <c r="AB135" s="35"/>
      <c r="AC135" s="205">
        <f t="shared" si="21"/>
        <v>0.36000000000000004</v>
      </c>
      <c r="AD135" s="205">
        <f t="shared" si="22"/>
        <v>0.34333333333333332</v>
      </c>
      <c r="AE135" s="202">
        <f>G135</f>
        <v>0.37666666666666665</v>
      </c>
      <c r="AF135" s="15">
        <f t="shared" si="28"/>
        <v>8.3333333333333329E-2</v>
      </c>
      <c r="AG135" s="15">
        <f t="shared" si="29"/>
        <v>5.8333333333333327E-2</v>
      </c>
      <c r="AH135" s="15">
        <f>M135</f>
        <v>9.0000000000000011E-2</v>
      </c>
      <c r="AI135" s="200">
        <f t="shared" si="23"/>
        <v>0.14638888888888887</v>
      </c>
      <c r="AK135" s="37">
        <f>AA135-AI135</f>
        <v>-1.6280011577291702</v>
      </c>
      <c r="AM135" s="106">
        <f>($G$14*AA135)-($G$15*AI135)</f>
        <v>-245.1639906603495</v>
      </c>
    </row>
    <row r="136" spans="1:39" x14ac:dyDescent="0.2">
      <c r="A136" s="24">
        <v>45107</v>
      </c>
      <c r="B136" s="4"/>
      <c r="C136" s="25">
        <v>0.38226666666666698</v>
      </c>
      <c r="D136" s="4"/>
      <c r="E136" s="15">
        <v>0.42333333333333334</v>
      </c>
      <c r="F136" s="4">
        <v>0.35749999999999998</v>
      </c>
      <c r="G136" s="4">
        <v>0.3725</v>
      </c>
      <c r="H136" s="15">
        <v>-1.1312123766876736</v>
      </c>
      <c r="I136" s="15">
        <v>1.279574872206124</v>
      </c>
      <c r="J136" s="4">
        <f t="shared" si="30"/>
        <v>3.9730092162746922</v>
      </c>
      <c r="K136" s="15">
        <v>0.13333333333333333</v>
      </c>
      <c r="L136" s="4">
        <v>6.25E-2</v>
      </c>
      <c r="M136" s="16">
        <v>8.0833333333333326E-2</v>
      </c>
      <c r="N136" s="4"/>
      <c r="O136" s="22">
        <v>0.98123199299999997</v>
      </c>
      <c r="P136" s="22">
        <v>3.6248743960000001</v>
      </c>
      <c r="Q136" s="22">
        <v>4.1927258600000004</v>
      </c>
      <c r="R136" s="16">
        <f t="shared" si="24"/>
        <v>3.3070503689005122</v>
      </c>
      <c r="S136" s="4"/>
      <c r="T136" s="22">
        <v>-6.844367718</v>
      </c>
      <c r="U136" s="4">
        <f t="shared" si="25"/>
        <v>-6.295114702154196</v>
      </c>
      <c r="V136" s="22">
        <v>2.240276283</v>
      </c>
      <c r="W136" s="4">
        <f t="shared" si="26"/>
        <v>1.7072123956230945</v>
      </c>
      <c r="X136" s="4">
        <v>0.42333333333333334</v>
      </c>
      <c r="Y136" s="4">
        <f t="shared" si="31"/>
        <v>-4.1066666666666363E-2</v>
      </c>
      <c r="Z136" s="4">
        <f t="shared" si="27"/>
        <v>1.6661457289564281</v>
      </c>
      <c r="AA136" s="37">
        <f t="shared" si="20"/>
        <v>0.76715041455256716</v>
      </c>
      <c r="AB136" s="35"/>
      <c r="AC136" s="205">
        <f t="shared" si="21"/>
        <v>0.42333333333333334</v>
      </c>
      <c r="AD136" s="205">
        <f t="shared" si="22"/>
        <v>0.35749999999999998</v>
      </c>
      <c r="AE136" s="202">
        <f>G136</f>
        <v>0.3725</v>
      </c>
      <c r="AF136" s="15">
        <f t="shared" si="28"/>
        <v>0.13333333333333333</v>
      </c>
      <c r="AG136" s="15">
        <f t="shared" si="29"/>
        <v>6.25E-2</v>
      </c>
      <c r="AH136" s="15">
        <f>M136</f>
        <v>8.0833333333333326E-2</v>
      </c>
      <c r="AI136" s="200">
        <f t="shared" si="23"/>
        <v>0.16063888888888889</v>
      </c>
      <c r="AK136" s="37">
        <f>AA136-AI136</f>
        <v>0.60651152566367827</v>
      </c>
      <c r="AM136" s="106">
        <f>($G$14*AA136)-($G$15*AI136)</f>
        <v>91.295653908365324</v>
      </c>
    </row>
    <row r="137" spans="1:39" x14ac:dyDescent="0.2">
      <c r="A137" s="24">
        <v>45138</v>
      </c>
      <c r="B137" s="4"/>
      <c r="C137" s="25">
        <v>0.41084999999999999</v>
      </c>
      <c r="D137" s="4"/>
      <c r="E137" s="15">
        <v>0.39166666666666666</v>
      </c>
      <c r="F137" s="4">
        <v>0.35083333333333333</v>
      </c>
      <c r="G137" s="4">
        <v>0.37333333333333335</v>
      </c>
      <c r="H137" s="15">
        <v>2.3984354405545805</v>
      </c>
      <c r="I137" s="15">
        <v>1.12989055433802</v>
      </c>
      <c r="J137" s="4">
        <f t="shared" si="30"/>
        <v>0.90536407753586401</v>
      </c>
      <c r="K137" s="15">
        <v>0.12416666666666666</v>
      </c>
      <c r="L137" s="4">
        <v>0.06</v>
      </c>
      <c r="M137" s="16">
        <v>8.666666666666667E-2</v>
      </c>
      <c r="N137" s="4"/>
      <c r="O137" s="22">
        <v>2.7087418470000002</v>
      </c>
      <c r="P137" s="22">
        <v>2.199074441</v>
      </c>
      <c r="Q137" s="22">
        <v>4.9207441120000004</v>
      </c>
      <c r="R137" s="16">
        <f t="shared" si="24"/>
        <v>4.5980053633801035</v>
      </c>
      <c r="S137" s="4"/>
      <c r="T137" s="22">
        <v>7.1870747269999997</v>
      </c>
      <c r="U137" s="4">
        <f t="shared" si="25"/>
        <v>4.4906368411691613</v>
      </c>
      <c r="V137" s="22">
        <v>1.942399175</v>
      </c>
      <c r="W137" s="4">
        <f t="shared" si="26"/>
        <v>1.8953618191246191</v>
      </c>
      <c r="X137" s="4">
        <v>0.42666666666666669</v>
      </c>
      <c r="Y137" s="4">
        <f t="shared" si="31"/>
        <v>-1.5816666666666701E-2</v>
      </c>
      <c r="Z137" s="4">
        <f t="shared" si="27"/>
        <v>1.8795451524579523</v>
      </c>
      <c r="AA137" s="37">
        <f t="shared" si="20"/>
        <v>1.9636320377819911</v>
      </c>
      <c r="AB137" s="35"/>
      <c r="AC137" s="205">
        <f t="shared" si="21"/>
        <v>0.39166666666666666</v>
      </c>
      <c r="AD137" s="205">
        <f t="shared" si="22"/>
        <v>0.35083333333333333</v>
      </c>
      <c r="AE137" s="202">
        <f>G137</f>
        <v>0.37333333333333335</v>
      </c>
      <c r="AF137" s="15">
        <f t="shared" si="28"/>
        <v>0.12416666666666666</v>
      </c>
      <c r="AG137" s="15">
        <f t="shared" si="29"/>
        <v>0.06</v>
      </c>
      <c r="AH137" s="15">
        <f>M137</f>
        <v>8.666666666666667E-2</v>
      </c>
      <c r="AI137" s="200">
        <f t="shared" si="23"/>
        <v>0.15680555555555556</v>
      </c>
      <c r="AK137" s="37">
        <f>AA137-AI137</f>
        <v>1.8068264822264355</v>
      </c>
      <c r="AM137" s="106">
        <f>($G$14*AA137)-($G$15*AI137)</f>
        <v>272.03409225274197</v>
      </c>
    </row>
    <row r="138" spans="1:39" x14ac:dyDescent="0.2">
      <c r="A138" s="24">
        <v>45169</v>
      </c>
      <c r="B138" s="4"/>
      <c r="C138" s="25">
        <v>0.43007499999999999</v>
      </c>
      <c r="D138" s="4"/>
      <c r="E138" s="15">
        <v>0.38583333333333331</v>
      </c>
      <c r="F138" s="4">
        <v>0.35749999999999998</v>
      </c>
      <c r="G138" s="4">
        <v>0.38583333333333331</v>
      </c>
      <c r="H138" s="15">
        <v>-0.36001392660908182</v>
      </c>
      <c r="I138" s="15">
        <v>0.23445586385838491</v>
      </c>
      <c r="J138" s="4">
        <f t="shared" si="30"/>
        <v>-1.1086961718610677</v>
      </c>
      <c r="K138" s="15">
        <v>0.11166666666666668</v>
      </c>
      <c r="L138" s="4">
        <v>6.4166666666666664E-2</v>
      </c>
      <c r="M138" s="16">
        <v>9.4999999999999987E-2</v>
      </c>
      <c r="N138" s="4"/>
      <c r="O138" s="22">
        <v>-2.3238974959999998</v>
      </c>
      <c r="P138" s="22">
        <v>-0.642247927</v>
      </c>
      <c r="Q138" s="22">
        <v>0.55593153299999998</v>
      </c>
      <c r="R138" s="16">
        <f t="shared" si="24"/>
        <v>1.3643462990760207</v>
      </c>
      <c r="S138" s="4"/>
      <c r="T138" s="22">
        <v>-2.8021627659999999</v>
      </c>
      <c r="U138" s="4">
        <f t="shared" si="25"/>
        <v>-1.3436028445661674</v>
      </c>
      <c r="V138" s="22">
        <v>-0.59369584399999997</v>
      </c>
      <c r="W138" s="4">
        <f t="shared" si="26"/>
        <v>-9.5884311375076192E-2</v>
      </c>
      <c r="X138" s="4">
        <v>0.44416666666666665</v>
      </c>
      <c r="Y138" s="4">
        <f t="shared" si="31"/>
        <v>-1.4091666666666669E-2</v>
      </c>
      <c r="Z138" s="4">
        <f t="shared" si="27"/>
        <v>-0.10997597804174286</v>
      </c>
      <c r="AA138" s="37">
        <f t="shared" si="20"/>
        <v>-0.62523746935851443</v>
      </c>
      <c r="AB138" s="35"/>
      <c r="AC138" s="205">
        <f t="shared" si="21"/>
        <v>0.38583333333333331</v>
      </c>
      <c r="AD138" s="205">
        <f t="shared" si="22"/>
        <v>0.35749999999999998</v>
      </c>
      <c r="AE138" s="202">
        <f>G138</f>
        <v>0.38583333333333331</v>
      </c>
      <c r="AF138" s="15">
        <f t="shared" si="28"/>
        <v>0.11166666666666668</v>
      </c>
      <c r="AG138" s="15">
        <f t="shared" si="29"/>
        <v>6.4166666666666664E-2</v>
      </c>
      <c r="AH138" s="15">
        <f>M138</f>
        <v>9.4999999999999987E-2</v>
      </c>
      <c r="AI138" s="200">
        <f t="shared" si="23"/>
        <v>0.15895833333333331</v>
      </c>
      <c r="AK138" s="37">
        <f>AA138-AI138</f>
        <v>-0.78419580269184774</v>
      </c>
      <c r="AM138" s="106">
        <f>($G$14*AA138)-($G$15*AI138)</f>
        <v>-118.11013446938038</v>
      </c>
    </row>
    <row r="139" spans="1:39" x14ac:dyDescent="0.2">
      <c r="A139" s="24">
        <v>45199</v>
      </c>
      <c r="B139" s="4"/>
      <c r="C139" s="25">
        <v>0.43211666666666698</v>
      </c>
      <c r="D139" s="4"/>
      <c r="E139" s="15">
        <v>0.36833333333333335</v>
      </c>
      <c r="F139" s="4">
        <v>0.36583333333333329</v>
      </c>
      <c r="G139" s="4">
        <v>0.40749999999999997</v>
      </c>
      <c r="H139" s="15">
        <v>-4.593854413289522E-2</v>
      </c>
      <c r="I139" s="15">
        <v>-0.6162848237623697</v>
      </c>
      <c r="J139" s="4">
        <f t="shared" si="30"/>
        <v>-1.8923958551935016</v>
      </c>
      <c r="K139" s="15">
        <v>6.25E-2</v>
      </c>
      <c r="L139" s="4">
        <v>6.3333333333333339E-2</v>
      </c>
      <c r="M139" s="16">
        <v>0.11166666666666668</v>
      </c>
      <c r="N139" s="4"/>
      <c r="O139" s="22">
        <v>2.2965304010000001</v>
      </c>
      <c r="P139" s="22">
        <v>-0.40752687100000001</v>
      </c>
      <c r="Q139" s="22">
        <v>3.8461596629999999</v>
      </c>
      <c r="R139" s="16">
        <f t="shared" si="24"/>
        <v>3.3497969902152041</v>
      </c>
      <c r="S139" s="4"/>
      <c r="T139" s="22">
        <v>-2.9193456329999998</v>
      </c>
      <c r="U139" s="4">
        <f t="shared" si="25"/>
        <v>-2.6041970753132335</v>
      </c>
      <c r="V139" s="22">
        <v>-0.63516087899999996</v>
      </c>
      <c r="W139" s="4">
        <f t="shared" si="26"/>
        <v>-0.52730556547501528</v>
      </c>
      <c r="X139" s="4">
        <v>0.44416666666666665</v>
      </c>
      <c r="Y139" s="4">
        <f t="shared" si="31"/>
        <v>-1.2049999999999672E-2</v>
      </c>
      <c r="Z139" s="4">
        <f t="shared" si="27"/>
        <v>-0.53935556547501495</v>
      </c>
      <c r="AA139" s="37">
        <f t="shared" si="20"/>
        <v>0.27937046819359035</v>
      </c>
      <c r="AB139" s="35"/>
      <c r="AC139" s="205">
        <f t="shared" si="21"/>
        <v>0.36833333333333335</v>
      </c>
      <c r="AD139" s="205">
        <f t="shared" si="22"/>
        <v>0.36583333333333329</v>
      </c>
      <c r="AE139" s="202">
        <f>G139</f>
        <v>0.40749999999999997</v>
      </c>
      <c r="AF139" s="15">
        <f t="shared" si="28"/>
        <v>6.25E-2</v>
      </c>
      <c r="AG139" s="15">
        <f t="shared" si="29"/>
        <v>6.3333333333333339E-2</v>
      </c>
      <c r="AH139" s="15">
        <f>M139</f>
        <v>0.11166666666666668</v>
      </c>
      <c r="AI139" s="200">
        <f t="shared" si="23"/>
        <v>0.15451388888888887</v>
      </c>
      <c r="AK139" s="37">
        <f>AA139-AI139</f>
        <v>0.12485657930470148</v>
      </c>
      <c r="AM139" s="106">
        <f>($G$14*AA139)-($G$15*AI139)</f>
        <v>18.771483269579715</v>
      </c>
    </row>
    <row r="140" spans="1:39" x14ac:dyDescent="0.2">
      <c r="A140" s="24">
        <v>45230</v>
      </c>
      <c r="B140" s="4"/>
      <c r="C140" s="25">
        <v>0.43225833333333302</v>
      </c>
      <c r="D140" s="4"/>
      <c r="E140" s="15">
        <v>0.36583333333333329</v>
      </c>
      <c r="F140" s="4">
        <v>0.3758333333333333</v>
      </c>
      <c r="G140" s="4">
        <v>0.41749999999999998</v>
      </c>
      <c r="H140" s="15">
        <v>-9.7070913049535079E-2</v>
      </c>
      <c r="I140" s="15">
        <v>-0.74584245030848706</v>
      </c>
      <c r="J140" s="4">
        <f t="shared" si="30"/>
        <v>-0.94017889012766309</v>
      </c>
      <c r="K140" s="15">
        <v>6.8333333333333329E-2</v>
      </c>
      <c r="L140" s="4">
        <v>7.9166666666666663E-2</v>
      </c>
      <c r="M140" s="16">
        <v>0.12333333333333334</v>
      </c>
      <c r="N140" s="4"/>
      <c r="O140" s="22">
        <v>-3.8178080900000002</v>
      </c>
      <c r="P140" s="22">
        <v>-2.8933319860000002</v>
      </c>
      <c r="Q140" s="22">
        <v>-7.6607579780000004</v>
      </c>
      <c r="R140" s="16">
        <f t="shared" si="24"/>
        <v>-5.4586469843569603</v>
      </c>
      <c r="S140" s="4"/>
      <c r="T140" s="22">
        <v>-3.5866392399999998</v>
      </c>
      <c r="U140" s="4">
        <f t="shared" si="25"/>
        <v>-3.3901508070626472</v>
      </c>
      <c r="V140" s="22">
        <v>-1.2530354290000001</v>
      </c>
      <c r="W140" s="4">
        <f t="shared" si="26"/>
        <v>-1.1078894562950032</v>
      </c>
      <c r="X140" s="4">
        <v>0.44416666666666665</v>
      </c>
      <c r="Y140" s="4">
        <f t="shared" si="31"/>
        <v>-1.1908333333333632E-2</v>
      </c>
      <c r="Z140" s="4">
        <f t="shared" si="27"/>
        <v>-1.1197977896283369</v>
      </c>
      <c r="AA140" s="37">
        <f t="shared" si="20"/>
        <v>-1.7024670003016547</v>
      </c>
      <c r="AB140" s="35"/>
      <c r="AC140" s="205">
        <f t="shared" si="21"/>
        <v>0.36583333333333329</v>
      </c>
      <c r="AD140" s="205">
        <f t="shared" si="22"/>
        <v>0.3758333333333333</v>
      </c>
      <c r="AE140" s="202">
        <f>G140</f>
        <v>0.41749999999999998</v>
      </c>
      <c r="AF140" s="15">
        <f t="shared" si="28"/>
        <v>6.8333333333333329E-2</v>
      </c>
      <c r="AG140" s="15">
        <f t="shared" si="29"/>
        <v>7.9166666666666663E-2</v>
      </c>
      <c r="AH140" s="15">
        <f>M140</f>
        <v>0.12333333333333334</v>
      </c>
      <c r="AI140" s="200">
        <f t="shared" si="23"/>
        <v>0.16501388888888888</v>
      </c>
      <c r="AK140" s="37">
        <f>AA140-AI140</f>
        <v>-1.8674808891905434</v>
      </c>
      <c r="AM140" s="106">
        <f>($G$14*AA140)-($G$15*AI140)</f>
        <v>-281.22718561065113</v>
      </c>
    </row>
    <row r="141" spans="1:39" x14ac:dyDescent="0.2">
      <c r="A141" s="24">
        <v>45260</v>
      </c>
      <c r="B141" s="4"/>
      <c r="C141" s="25">
        <v>0.43229166666666702</v>
      </c>
      <c r="D141" s="4"/>
      <c r="E141" s="15">
        <v>0.34749999999999998</v>
      </c>
      <c r="F141" s="4">
        <v>0.34833333333333333</v>
      </c>
      <c r="G141" s="4">
        <v>0.39166666666666666</v>
      </c>
      <c r="H141" s="15">
        <v>3.7616137410941941</v>
      </c>
      <c r="I141" s="15">
        <v>3.848600262254942</v>
      </c>
      <c r="J141" s="4">
        <f t="shared" si="30"/>
        <v>10.740264331100086</v>
      </c>
      <c r="K141" s="15">
        <v>5.8333333333333327E-2</v>
      </c>
      <c r="L141" s="4">
        <v>5.9166666666666666E-2</v>
      </c>
      <c r="M141" s="16">
        <v>0.10416666666666667</v>
      </c>
      <c r="N141" s="4"/>
      <c r="O141" s="22">
        <v>2.3440037070000002</v>
      </c>
      <c r="P141" s="22">
        <v>4.6969072580000004</v>
      </c>
      <c r="Q141" s="22">
        <v>11.978787390000001</v>
      </c>
      <c r="R141" s="16">
        <f t="shared" si="24"/>
        <v>8.491300515128609</v>
      </c>
      <c r="S141" s="4"/>
      <c r="T141" s="22">
        <v>12.47721907</v>
      </c>
      <c r="U141" s="4">
        <f t="shared" si="25"/>
        <v>9.3037450945874713</v>
      </c>
      <c r="V141" s="22">
        <v>3.2326810610000001</v>
      </c>
      <c r="W141" s="4">
        <f t="shared" si="26"/>
        <v>2.3645669575409993</v>
      </c>
      <c r="X141" s="4">
        <v>0.44416666666666665</v>
      </c>
      <c r="Y141" s="4">
        <f t="shared" si="31"/>
        <v>-1.1874999999999636E-2</v>
      </c>
      <c r="Z141" s="4">
        <f t="shared" si="27"/>
        <v>2.3526919575409995</v>
      </c>
      <c r="AA141" s="37">
        <f t="shared" si="20"/>
        <v>3.1666873562985165</v>
      </c>
      <c r="AB141" s="35"/>
      <c r="AC141" s="205">
        <f t="shared" si="21"/>
        <v>0.34749999999999998</v>
      </c>
      <c r="AD141" s="205">
        <f t="shared" si="22"/>
        <v>0.34833333333333333</v>
      </c>
      <c r="AE141" s="202">
        <f>G141</f>
        <v>0.39166666666666666</v>
      </c>
      <c r="AF141" s="15">
        <f t="shared" si="28"/>
        <v>5.8333333333333327E-2</v>
      </c>
      <c r="AG141" s="15">
        <f t="shared" si="29"/>
        <v>5.9166666666666666E-2</v>
      </c>
      <c r="AH141" s="15">
        <f>M141</f>
        <v>0.10416666666666667</v>
      </c>
      <c r="AI141" s="200">
        <f t="shared" si="23"/>
        <v>0.14609722222222221</v>
      </c>
      <c r="AK141" s="37">
        <f>AA141-AI141</f>
        <v>3.0205901340762944</v>
      </c>
      <c r="AM141" s="106">
        <f>($G$14*AA141)-($G$15*AI141)</f>
        <v>454.7988538846742</v>
      </c>
    </row>
    <row r="142" spans="1:39" x14ac:dyDescent="0.2">
      <c r="A142" s="24">
        <v>45291</v>
      </c>
      <c r="B142" s="4"/>
      <c r="C142" s="25">
        <v>0.43225000000000002</v>
      </c>
      <c r="D142" s="4"/>
      <c r="E142" s="15">
        <v>0.28833333333333333</v>
      </c>
      <c r="F142" s="4">
        <v>0.29833333333333334</v>
      </c>
      <c r="G142" s="4">
        <v>0.34916666666666668</v>
      </c>
      <c r="H142" s="15">
        <v>4.693212869725838</v>
      </c>
      <c r="I142" s="15">
        <v>3.2586058251002692</v>
      </c>
      <c r="J142" s="4">
        <f t="shared" si="30"/>
        <v>2.3736141693682598</v>
      </c>
      <c r="K142" s="15">
        <v>1.6666666666666668E-3</v>
      </c>
      <c r="L142" s="4">
        <v>1.7499999999999998E-2</v>
      </c>
      <c r="M142" s="16">
        <v>6.9999999999999993E-2</v>
      </c>
      <c r="N142" s="4"/>
      <c r="O142" s="22">
        <v>3.6953912519999998</v>
      </c>
      <c r="P142" s="22">
        <v>4.7337011999999996</v>
      </c>
      <c r="Q142" s="22">
        <v>8.001921523</v>
      </c>
      <c r="R142" s="16">
        <f t="shared" si="24"/>
        <v>8.0997973214257222</v>
      </c>
      <c r="S142" s="4"/>
      <c r="T142" s="22">
        <v>9.3585888510000004</v>
      </c>
      <c r="U142" s="4">
        <f t="shared" si="25"/>
        <v>9.3476200997174956</v>
      </c>
      <c r="V142" s="22">
        <v>2.2437791709999999</v>
      </c>
      <c r="W142" s="4">
        <f t="shared" si="26"/>
        <v>2.2679367283081997</v>
      </c>
      <c r="X142" s="4">
        <v>0.44416666666666665</v>
      </c>
      <c r="Y142" s="4">
        <f t="shared" si="31"/>
        <v>-1.1916666666666631E-2</v>
      </c>
      <c r="Z142" s="4">
        <f t="shared" si="27"/>
        <v>2.2560200616415331</v>
      </c>
      <c r="AA142" s="37">
        <f t="shared" si="20"/>
        <v>3.580071379617352</v>
      </c>
      <c r="AB142" s="35"/>
      <c r="AC142" s="205">
        <f t="shared" si="21"/>
        <v>0.28833333333333333</v>
      </c>
      <c r="AD142" s="205">
        <f t="shared" si="22"/>
        <v>0.29833333333333334</v>
      </c>
      <c r="AE142" s="202">
        <f>G142</f>
        <v>0.34916666666666668</v>
      </c>
      <c r="AF142" s="15">
        <f t="shared" si="28"/>
        <v>1.6666666666666668E-3</v>
      </c>
      <c r="AG142" s="15">
        <f t="shared" si="29"/>
        <v>1.7499999999999998E-2</v>
      </c>
      <c r="AH142" s="15">
        <f>M142</f>
        <v>6.9999999999999993E-2</v>
      </c>
      <c r="AI142" s="200">
        <f t="shared" si="23"/>
        <v>0.10123611111111112</v>
      </c>
      <c r="AK142" s="37">
        <f>AA142-AI142</f>
        <v>3.4788352685062409</v>
      </c>
      <c r="AM142" s="106">
        <f>($G$14*AA142)-($G$15*AI142)</f>
        <v>523.80759860307228</v>
      </c>
    </row>
    <row r="143" spans="1:39" x14ac:dyDescent="0.2">
      <c r="A143" s="24">
        <v>45322</v>
      </c>
      <c r="B143" s="4"/>
      <c r="C143" s="25">
        <v>0.43229166666666702</v>
      </c>
      <c r="D143" s="4"/>
      <c r="E143" s="15">
        <v>0.3133333333333333</v>
      </c>
      <c r="F143" s="4">
        <v>0.32</v>
      </c>
      <c r="G143" s="4">
        <v>0.3741666666666667</v>
      </c>
      <c r="H143" s="15">
        <v>-1.2039204413900939</v>
      </c>
      <c r="I143" s="15">
        <v>-0.18849150221832423</v>
      </c>
      <c r="J143" s="4">
        <f t="shared" si="30"/>
        <v>-5.3591374931962141</v>
      </c>
      <c r="K143" s="15">
        <v>1.1666666666666667E-2</v>
      </c>
      <c r="L143" s="4">
        <v>3.7499999999999999E-2</v>
      </c>
      <c r="M143" s="16">
        <v>9.5833333333333326E-2</v>
      </c>
      <c r="N143" s="4"/>
      <c r="O143" s="22">
        <v>-1.1808189309999999</v>
      </c>
      <c r="P143" s="22">
        <v>1.614082341</v>
      </c>
      <c r="Q143" s="22">
        <v>1.0562546989999999</v>
      </c>
      <c r="R143" s="16">
        <f t="shared" si="24"/>
        <v>2.4649632234851442</v>
      </c>
      <c r="S143" s="4"/>
      <c r="T143" s="22">
        <v>-3.3153042830000001</v>
      </c>
      <c r="U143" s="4">
        <f t="shared" si="25"/>
        <v>-0.78271940645650084</v>
      </c>
      <c r="V143" s="22">
        <v>-0.36929273699999998</v>
      </c>
      <c r="W143" s="4">
        <f t="shared" si="26"/>
        <v>0.15815315606163993</v>
      </c>
      <c r="X143" s="4">
        <v>0.44416666666666665</v>
      </c>
      <c r="Y143" s="4">
        <f t="shared" si="31"/>
        <v>-1.1874999999999636E-2</v>
      </c>
      <c r="Z143" s="4">
        <f t="shared" si="27"/>
        <v>0.1462781560616403</v>
      </c>
      <c r="AA143" s="37">
        <f t="shared" si="20"/>
        <v>5.5182858323510636E-2</v>
      </c>
      <c r="AB143" s="35"/>
      <c r="AC143" s="205">
        <f t="shared" si="21"/>
        <v>0.3133333333333333</v>
      </c>
      <c r="AD143" s="205">
        <f t="shared" si="22"/>
        <v>0.32</v>
      </c>
      <c r="AE143" s="202">
        <f>G143</f>
        <v>0.3741666666666667</v>
      </c>
      <c r="AF143" s="15">
        <f t="shared" si="28"/>
        <v>1.1666666666666667E-2</v>
      </c>
      <c r="AG143" s="15">
        <f t="shared" si="29"/>
        <v>3.7499999999999999E-2</v>
      </c>
      <c r="AH143" s="15">
        <f>M143</f>
        <v>9.5833333333333326E-2</v>
      </c>
      <c r="AI143" s="200">
        <f t="shared" si="23"/>
        <v>0.12161111111111111</v>
      </c>
      <c r="AK143" s="37">
        <f>AA143-AI143</f>
        <v>-6.6428252787600478E-2</v>
      </c>
      <c r="AM143" s="106">
        <f>($G$14*AA143)-($G$15*AI143)</f>
        <v>-10.025139328066606</v>
      </c>
    </row>
    <row r="144" spans="1:39" x14ac:dyDescent="0.2">
      <c r="A144" s="24">
        <v>45351</v>
      </c>
      <c r="B144" s="4"/>
      <c r="C144" s="25">
        <v>0.43235833333333301</v>
      </c>
      <c r="D144" s="4"/>
      <c r="E144" s="15">
        <v>0.34499999999999997</v>
      </c>
      <c r="F144" s="4">
        <v>0.33916666666666667</v>
      </c>
      <c r="G144" s="4">
        <v>0.37999999999999995</v>
      </c>
      <c r="H144" s="15">
        <v>-0.71920662507463096</v>
      </c>
      <c r="I144" s="15">
        <v>0.1222667581089909</v>
      </c>
      <c r="J144" s="4">
        <f t="shared" si="30"/>
        <v>0.58840414859996359</v>
      </c>
      <c r="K144" s="15">
        <v>4.0833333333333333E-2</v>
      </c>
      <c r="L144" s="4">
        <v>4.7499999999999994E-2</v>
      </c>
      <c r="M144" s="16">
        <v>9.4999999999999987E-2</v>
      </c>
      <c r="N144" s="4"/>
      <c r="O144" s="22">
        <v>0.13365714200000001</v>
      </c>
      <c r="P144" s="22">
        <v>3.9705514339999999</v>
      </c>
      <c r="Q144" s="22">
        <v>2.753997424</v>
      </c>
      <c r="R144" s="16">
        <f t="shared" si="24"/>
        <v>2.696190583897029</v>
      </c>
      <c r="S144" s="4"/>
      <c r="T144" s="22">
        <v>-6.4143276690000004</v>
      </c>
      <c r="U144" s="4">
        <f t="shared" si="25"/>
        <v>-5.288006016491301</v>
      </c>
      <c r="V144" s="22">
        <v>1.5525617359999999</v>
      </c>
      <c r="W144" s="4">
        <f t="shared" si="26"/>
        <v>1.2736800200123279</v>
      </c>
      <c r="X144" s="4">
        <v>0.44416666666666665</v>
      </c>
      <c r="Y144" s="4">
        <f t="shared" si="31"/>
        <v>-1.1808333333333643E-2</v>
      </c>
      <c r="Z144" s="4">
        <f t="shared" si="27"/>
        <v>1.2618716866789943</v>
      </c>
      <c r="AA144" s="37">
        <f t="shared" si="20"/>
        <v>0.8173714702258239</v>
      </c>
      <c r="AB144" s="35"/>
      <c r="AC144" s="205">
        <f t="shared" si="21"/>
        <v>0.34499999999999997</v>
      </c>
      <c r="AD144" s="205">
        <f t="shared" si="22"/>
        <v>0.33916666666666667</v>
      </c>
      <c r="AE144" s="202">
        <f>G144</f>
        <v>0.37999999999999995</v>
      </c>
      <c r="AF144" s="15">
        <f t="shared" si="28"/>
        <v>4.0833333333333333E-2</v>
      </c>
      <c r="AG144" s="15">
        <f t="shared" si="29"/>
        <v>4.7499999999999994E-2</v>
      </c>
      <c r="AH144" s="15">
        <f>M144</f>
        <v>9.4999999999999987E-2</v>
      </c>
      <c r="AI144" s="200">
        <f t="shared" si="23"/>
        <v>0.13475000000000001</v>
      </c>
      <c r="AK144" s="37">
        <f>AA144-AI144</f>
        <v>0.68262147022582387</v>
      </c>
      <c r="AM144" s="106">
        <f>($G$14*AA144)-($G$15*AI144)</f>
        <v>102.76075776021618</v>
      </c>
    </row>
    <row r="145" spans="1:39" x14ac:dyDescent="0.2">
      <c r="A145" s="24">
        <v>45382</v>
      </c>
      <c r="B145" s="4"/>
      <c r="C145" s="25">
        <v>0.432425</v>
      </c>
      <c r="D145" s="4"/>
      <c r="E145" s="15">
        <v>0.32916666666666666</v>
      </c>
      <c r="F145" s="4">
        <v>0.32416666666666666</v>
      </c>
      <c r="G145" s="4">
        <v>0.36916666666666664</v>
      </c>
      <c r="H145" s="15">
        <v>1.8048275288838456</v>
      </c>
      <c r="I145" s="15">
        <v>0.7468317461734153</v>
      </c>
      <c r="J145" s="4">
        <f t="shared" si="30"/>
        <v>1.6836792282700519</v>
      </c>
      <c r="K145" s="15">
        <v>8.3333333333333339E-4</v>
      </c>
      <c r="L145" s="4">
        <v>2.6666666666666668E-2</v>
      </c>
      <c r="M145" s="16">
        <v>8.0833333333333326E-2</v>
      </c>
      <c r="N145" s="4"/>
      <c r="O145" s="22">
        <v>4.7697718870000001</v>
      </c>
      <c r="P145" s="22">
        <v>3.5560631250000001</v>
      </c>
      <c r="Q145" s="22">
        <v>3.5320092569999999</v>
      </c>
      <c r="R145" s="16">
        <f t="shared" si="24"/>
        <v>3.3648455223794058</v>
      </c>
      <c r="S145" s="4"/>
      <c r="T145" s="22">
        <v>7.3185389560000003</v>
      </c>
      <c r="U145" s="4">
        <f t="shared" si="25"/>
        <v>4.7972299615017402</v>
      </c>
      <c r="V145" s="22">
        <v>1.461751131</v>
      </c>
      <c r="W145" s="4">
        <f t="shared" si="26"/>
        <v>1.4241369088024656</v>
      </c>
      <c r="X145" s="4">
        <v>0.44416666666666665</v>
      </c>
      <c r="Y145" s="4">
        <f t="shared" si="31"/>
        <v>-1.174166666666665E-2</v>
      </c>
      <c r="Z145" s="4">
        <f t="shared" si="27"/>
        <v>1.412395242135799</v>
      </c>
      <c r="AA145" s="37">
        <f t="shared" si="20"/>
        <v>2.5343167951715437</v>
      </c>
      <c r="AB145" s="35"/>
      <c r="AC145" s="205">
        <f t="shared" si="21"/>
        <v>0.32916666666666666</v>
      </c>
      <c r="AD145" s="205">
        <f t="shared" si="22"/>
        <v>0.32416666666666666</v>
      </c>
      <c r="AE145" s="202">
        <f>G145</f>
        <v>0.36916666666666664</v>
      </c>
      <c r="AF145" s="15">
        <f t="shared" si="28"/>
        <v>8.3333333333333339E-4</v>
      </c>
      <c r="AG145" s="15">
        <f t="shared" si="29"/>
        <v>2.6666666666666668E-2</v>
      </c>
      <c r="AH145" s="15">
        <f>M145</f>
        <v>8.0833333333333326E-2</v>
      </c>
      <c r="AI145" s="200">
        <f t="shared" si="23"/>
        <v>0.11349999999999999</v>
      </c>
      <c r="AK145" s="37">
        <f>AA145-AI145</f>
        <v>2.4208167951715436</v>
      </c>
      <c r="AM145" s="106">
        <f>($G$14*AA145)-($G$15*AI145)</f>
        <v>364.4939157530535</v>
      </c>
    </row>
    <row r="146" spans="1:39" x14ac:dyDescent="0.2">
      <c r="A146" s="24">
        <v>45412</v>
      </c>
      <c r="B146" s="4"/>
      <c r="C146" s="25">
        <v>0.43315833333333298</v>
      </c>
      <c r="D146" s="4"/>
      <c r="E146" s="15">
        <v>0.36333333333333334</v>
      </c>
      <c r="F146" s="4">
        <v>0.36000000000000004</v>
      </c>
      <c r="G146" s="4">
        <v>0.39999999999999997</v>
      </c>
      <c r="H146" s="15">
        <v>-2.0160139765905583</v>
      </c>
      <c r="I146" s="15">
        <v>-0.47410019323196329</v>
      </c>
      <c r="J146" s="4">
        <f t="shared" si="30"/>
        <v>-2.3054981023400312</v>
      </c>
      <c r="K146" s="15">
        <v>1.3333333333333334E-2</v>
      </c>
      <c r="L146" s="4">
        <v>5.2499999999999998E-2</v>
      </c>
      <c r="M146" s="16">
        <v>0.10583333333333333</v>
      </c>
      <c r="N146" s="4"/>
      <c r="O146" s="22">
        <v>2.9054416540000001</v>
      </c>
      <c r="P146" s="22">
        <v>-2.15986023</v>
      </c>
      <c r="Q146" s="22">
        <v>-1.27214574</v>
      </c>
      <c r="R146" s="16">
        <f t="shared" si="24"/>
        <v>-0.34474748752411877</v>
      </c>
      <c r="S146" s="4"/>
      <c r="T146" s="22">
        <v>-2.9480411160000002</v>
      </c>
      <c r="U146" s="4">
        <f t="shared" si="25"/>
        <v>-1.398986900499652</v>
      </c>
      <c r="V146" s="22">
        <v>-1.2050088269999999</v>
      </c>
      <c r="W146" s="4">
        <f t="shared" si="26"/>
        <v>-0.67917967983950689</v>
      </c>
      <c r="X146" s="4">
        <v>0.44416666666666665</v>
      </c>
      <c r="Y146" s="4">
        <f t="shared" si="31"/>
        <v>-1.1008333333333675E-2</v>
      </c>
      <c r="Z146" s="4">
        <f t="shared" si="27"/>
        <v>-0.69018801317284062</v>
      </c>
      <c r="AA146" s="37">
        <f t="shared" si="20"/>
        <v>-0.49649597275839152</v>
      </c>
      <c r="AB146" s="35"/>
      <c r="AC146" s="205">
        <f t="shared" si="21"/>
        <v>0.36333333333333334</v>
      </c>
      <c r="AD146" s="205">
        <f t="shared" si="22"/>
        <v>0.36000000000000004</v>
      </c>
      <c r="AE146" s="202">
        <f>G146</f>
        <v>0.39999999999999997</v>
      </c>
      <c r="AF146" s="15">
        <f t="shared" si="28"/>
        <v>1.3333333333333334E-2</v>
      </c>
      <c r="AG146" s="15">
        <f t="shared" si="29"/>
        <v>5.2499999999999998E-2</v>
      </c>
      <c r="AH146" s="15">
        <f>M146</f>
        <v>0.10583333333333333</v>
      </c>
      <c r="AI146" s="200">
        <f t="shared" si="23"/>
        <v>0.13843055555555556</v>
      </c>
      <c r="AK146" s="37">
        <f>AA146-AI146</f>
        <v>-0.63492652831394714</v>
      </c>
      <c r="AM146" s="106">
        <f>($G$14*AA146)-($G$15*AI146)</f>
        <v>-95.630046538980793</v>
      </c>
    </row>
    <row r="147" spans="1:39" x14ac:dyDescent="0.2">
      <c r="A147" s="24">
        <v>45443</v>
      </c>
      <c r="B147" s="4"/>
      <c r="C147" s="25">
        <v>0.43333333333333302</v>
      </c>
      <c r="D147" s="4"/>
      <c r="E147" s="15">
        <v>0.35916666666666663</v>
      </c>
      <c r="F147" s="4">
        <v>0.35583333333333328</v>
      </c>
      <c r="G147" s="4">
        <v>0.39500000000000002</v>
      </c>
      <c r="H147" s="15">
        <v>0.83605771238727256</v>
      </c>
      <c r="I147" s="15">
        <v>1.1100540013265547</v>
      </c>
      <c r="J147" s="4">
        <f t="shared" si="30"/>
        <v>3.4862852931643316</v>
      </c>
      <c r="K147" s="15">
        <v>0.01</v>
      </c>
      <c r="L147" s="4">
        <v>4.8333333333333332E-2</v>
      </c>
      <c r="M147" s="16">
        <v>0.10083333333333333</v>
      </c>
      <c r="N147" s="4"/>
      <c r="O147" s="22">
        <v>2.1387707360000001</v>
      </c>
      <c r="P147" s="22">
        <v>1.1863772299999999</v>
      </c>
      <c r="Q147" s="22">
        <v>1.557838635</v>
      </c>
      <c r="R147" s="16">
        <f t="shared" si="24"/>
        <v>1.1773214104951764</v>
      </c>
      <c r="S147" s="4"/>
      <c r="T147" s="22">
        <v>5.270254789</v>
      </c>
      <c r="U147" s="4">
        <f t="shared" si="25"/>
        <v>3.93640645110007</v>
      </c>
      <c r="V147" s="22">
        <v>1.321908144</v>
      </c>
      <c r="W147" s="4">
        <f t="shared" si="26"/>
        <v>0.92169057923209863</v>
      </c>
      <c r="X147" s="4">
        <v>0.44416666666666665</v>
      </c>
      <c r="Y147" s="4">
        <f t="shared" si="31"/>
        <v>-1.0833333333333639E-2</v>
      </c>
      <c r="Z147" s="4">
        <f t="shared" si="27"/>
        <v>0.91085724589876493</v>
      </c>
      <c r="AA147" s="37">
        <f t="shared" si="20"/>
        <v>1.1573512190828252</v>
      </c>
      <c r="AB147" s="35"/>
      <c r="AC147" s="205">
        <f t="shared" si="21"/>
        <v>0.35916666666666663</v>
      </c>
      <c r="AD147" s="205">
        <f t="shared" si="22"/>
        <v>0.35583333333333328</v>
      </c>
      <c r="AE147" s="202">
        <f>G147</f>
        <v>0.39500000000000002</v>
      </c>
      <c r="AF147" s="15">
        <f t="shared" si="28"/>
        <v>0.01</v>
      </c>
      <c r="AG147" s="15">
        <f t="shared" si="29"/>
        <v>4.8333333333333332E-2</v>
      </c>
      <c r="AH147" s="15">
        <f>M147</f>
        <v>0.10083333333333333</v>
      </c>
      <c r="AI147" s="200">
        <f t="shared" si="23"/>
        <v>0.13415277777777779</v>
      </c>
      <c r="AK147" s="37">
        <f>AA147-AI147</f>
        <v>1.0231984413050474</v>
      </c>
      <c r="AM147" s="106">
        <f>($G$14*AA147)-($G$15*AI147)</f>
        <v>154.04333132316623</v>
      </c>
    </row>
    <row r="148" spans="1:39" x14ac:dyDescent="0.2">
      <c r="A148" s="24">
        <v>45473</v>
      </c>
      <c r="B148" s="4"/>
      <c r="C148" s="25">
        <v>0.43333333333333302</v>
      </c>
      <c r="D148" s="4"/>
      <c r="E148" s="15">
        <v>0.34583333333333338</v>
      </c>
      <c r="F148" s="4">
        <v>0.34583333333333338</v>
      </c>
      <c r="G148" s="4">
        <v>0.38833333333333336</v>
      </c>
      <c r="H148" s="15">
        <v>0.79135293264200879</v>
      </c>
      <c r="I148" s="15">
        <v>0.35269073674942808</v>
      </c>
      <c r="J148" s="4">
        <f t="shared" si="30"/>
        <v>-0.78335416011626191</v>
      </c>
      <c r="K148" s="15">
        <v>2.2500000000000003E-2</v>
      </c>
      <c r="L148" s="4">
        <v>5.2499999999999998E-2</v>
      </c>
      <c r="M148" s="16">
        <v>0.10249999999999999</v>
      </c>
      <c r="N148" s="4"/>
      <c r="O148" s="22">
        <v>-1.0290027369999999</v>
      </c>
      <c r="P148" s="22">
        <v>4.3243751430000001</v>
      </c>
      <c r="Q148" s="22">
        <v>0.73595301099999999</v>
      </c>
      <c r="R148" s="16">
        <f t="shared" si="24"/>
        <v>0.82422669089903522</v>
      </c>
      <c r="S148" s="4"/>
      <c r="T148" s="22">
        <v>-2.1381126730000002</v>
      </c>
      <c r="U148" s="4">
        <f t="shared" si="25"/>
        <v>-0.92320884817998616</v>
      </c>
      <c r="V148" s="22">
        <v>0.34190721600000001</v>
      </c>
      <c r="W148" s="4">
        <f t="shared" si="26"/>
        <v>0.45786388864641975</v>
      </c>
      <c r="X148" s="4">
        <v>0.44416666666666665</v>
      </c>
      <c r="Y148" s="4">
        <f t="shared" si="31"/>
        <v>-1.0833333333333639E-2</v>
      </c>
      <c r="Z148" s="4">
        <f t="shared" si="27"/>
        <v>0.44703055531308611</v>
      </c>
      <c r="AA148" s="37">
        <f t="shared" si="20"/>
        <v>1.1607317321410837</v>
      </c>
      <c r="AB148" s="35"/>
      <c r="AC148" s="205">
        <f t="shared" si="21"/>
        <v>0.34583333333333338</v>
      </c>
      <c r="AD148" s="205">
        <f t="shared" si="22"/>
        <v>0.34583333333333338</v>
      </c>
      <c r="AE148" s="202">
        <f>G148</f>
        <v>0.38833333333333336</v>
      </c>
      <c r="AF148" s="15">
        <f t="shared" si="28"/>
        <v>2.2500000000000003E-2</v>
      </c>
      <c r="AG148" s="15">
        <f t="shared" si="29"/>
        <v>5.2499999999999998E-2</v>
      </c>
      <c r="AH148" s="15">
        <f>M148</f>
        <v>0.10249999999999999</v>
      </c>
      <c r="AI148" s="200">
        <f t="shared" si="23"/>
        <v>0.13587500000000002</v>
      </c>
      <c r="AK148" s="37">
        <f>AA148-AI148</f>
        <v>1.0248567321410837</v>
      </c>
      <c r="AM148" s="106">
        <f>($G$14*AA148)-($G$15*AI148)</f>
        <v>154.29270756819645</v>
      </c>
    </row>
    <row r="149" spans="1:39" x14ac:dyDescent="0.2">
      <c r="A149" s="24">
        <v>45504</v>
      </c>
      <c r="B149" s="4"/>
      <c r="C149" s="25">
        <v>0.43333333333333302</v>
      </c>
      <c r="D149" s="4"/>
      <c r="E149" s="15">
        <v>0.32083333333333336</v>
      </c>
      <c r="F149" s="4">
        <v>0.33083333333333337</v>
      </c>
      <c r="G149" s="4">
        <v>0.3775</v>
      </c>
      <c r="H149" s="15">
        <v>1.6858978647071976</v>
      </c>
      <c r="I149" s="15">
        <v>1.3452818846220849</v>
      </c>
      <c r="J149" s="4">
        <f t="shared" si="30"/>
        <v>2.8341686064310698</v>
      </c>
      <c r="K149" s="15">
        <v>5.8333333333333336E-3</v>
      </c>
      <c r="L149" s="4">
        <v>4.2500000000000003E-2</v>
      </c>
      <c r="M149" s="16">
        <v>9.4999999999999987E-2</v>
      </c>
      <c r="N149" s="4"/>
      <c r="O149" s="22">
        <v>2.439292247</v>
      </c>
      <c r="P149" s="22">
        <v>-0.32843978299999999</v>
      </c>
      <c r="Q149" s="22">
        <v>5.4202349380000001</v>
      </c>
      <c r="R149" s="16">
        <f t="shared" si="24"/>
        <v>4.5010332885798077</v>
      </c>
      <c r="S149" s="4"/>
      <c r="T149" s="22">
        <v>3.3884966259999998</v>
      </c>
      <c r="U149" s="4">
        <f t="shared" si="25"/>
        <v>2.5261555311640027</v>
      </c>
      <c r="V149" s="22">
        <v>1.1475249089999999</v>
      </c>
      <c r="W149" s="4">
        <f t="shared" si="26"/>
        <v>1.0095927049292839</v>
      </c>
      <c r="X149" s="4">
        <v>0.44416666666666665</v>
      </c>
      <c r="Y149" s="4">
        <f t="shared" si="31"/>
        <v>-1.0833333333333639E-2</v>
      </c>
      <c r="Z149" s="4">
        <f t="shared" si="27"/>
        <v>0.99875937159595018</v>
      </c>
      <c r="AA149" s="37">
        <f t="shared" si="20"/>
        <v>0.98384974618307341</v>
      </c>
      <c r="AB149" s="35"/>
      <c r="AC149" s="205">
        <f t="shared" si="21"/>
        <v>0.32083333333333336</v>
      </c>
      <c r="AD149" s="205">
        <f t="shared" si="22"/>
        <v>0.33083333333333337</v>
      </c>
      <c r="AE149" s="202">
        <f>G149</f>
        <v>0.3775</v>
      </c>
      <c r="AF149" s="15">
        <f t="shared" si="28"/>
        <v>5.8333333333333336E-3</v>
      </c>
      <c r="AG149" s="15">
        <f t="shared" si="29"/>
        <v>4.2500000000000003E-2</v>
      </c>
      <c r="AH149" s="15">
        <f>M149</f>
        <v>9.4999999999999987E-2</v>
      </c>
      <c r="AI149" s="200">
        <f t="shared" si="23"/>
        <v>0.12359722222222222</v>
      </c>
      <c r="AK149" s="37">
        <f>AA149-AI149</f>
        <v>0.86025252396085117</v>
      </c>
      <c r="AM149" s="106">
        <f>($G$14*AA149)-($G$15*AI149)</f>
        <v>129.50967860531995</v>
      </c>
    </row>
    <row r="150" spans="1:39" x14ac:dyDescent="0.2">
      <c r="A150" s="24">
        <v>45535</v>
      </c>
      <c r="B150" s="4"/>
      <c r="C150" s="25">
        <v>0.41249999999999998</v>
      </c>
      <c r="D150" s="4"/>
      <c r="E150" s="15">
        <v>0.31916666666666665</v>
      </c>
      <c r="F150" s="4">
        <v>0.33083333333333337</v>
      </c>
      <c r="G150" s="4">
        <v>0.3741666666666667</v>
      </c>
      <c r="H150" s="15">
        <v>0.31566815298580408</v>
      </c>
      <c r="I150" s="15">
        <v>1.4051939420045456</v>
      </c>
      <c r="J150" s="4">
        <f t="shared" si="30"/>
        <v>1.4950620280782367</v>
      </c>
      <c r="K150" s="15">
        <v>1.5833333333333335E-2</v>
      </c>
      <c r="L150" s="4">
        <v>4.8333333333333332E-2</v>
      </c>
      <c r="M150" s="16">
        <v>9.8333333333333328E-2</v>
      </c>
      <c r="N150" s="4"/>
      <c r="O150" s="22">
        <v>0.86181704599999998</v>
      </c>
      <c r="P150" s="22">
        <v>-0.33758596000000002</v>
      </c>
      <c r="Q150" s="22">
        <v>-2.913743438</v>
      </c>
      <c r="R150" s="16">
        <f t="shared" si="24"/>
        <v>-1.4307880926840384</v>
      </c>
      <c r="S150" s="4"/>
      <c r="T150" s="22">
        <v>0.13474836400000001</v>
      </c>
      <c r="U150" s="4">
        <f t="shared" si="25"/>
        <v>0.61302979743280051</v>
      </c>
      <c r="V150" s="22">
        <v>0.78263411599999999</v>
      </c>
      <c r="W150" s="4">
        <f t="shared" si="26"/>
        <v>0.82802583378585681</v>
      </c>
      <c r="X150" s="4">
        <v>0.44416666666666665</v>
      </c>
      <c r="Y150" s="4">
        <f t="shared" si="31"/>
        <v>-3.1666666666666676E-2</v>
      </c>
      <c r="Z150" s="4">
        <f t="shared" si="27"/>
        <v>0.79635916711919008</v>
      </c>
      <c r="AA150" s="37">
        <f t="shared" si="20"/>
        <v>0.20128346879376346</v>
      </c>
      <c r="AB150" s="35"/>
      <c r="AC150" s="205">
        <f t="shared" si="21"/>
        <v>0.31916666666666665</v>
      </c>
      <c r="AD150" s="205">
        <f t="shared" si="22"/>
        <v>0.33083333333333337</v>
      </c>
      <c r="AE150" s="202">
        <f>G150</f>
        <v>0.3741666666666667</v>
      </c>
      <c r="AF150" s="15">
        <f t="shared" si="28"/>
        <v>1.5833333333333335E-2</v>
      </c>
      <c r="AG150" s="15">
        <f t="shared" si="29"/>
        <v>4.8333333333333332E-2</v>
      </c>
      <c r="AH150" s="15">
        <f>M150</f>
        <v>9.8333333333333328E-2</v>
      </c>
      <c r="AI150" s="200">
        <f t="shared" si="23"/>
        <v>0.12779166666666669</v>
      </c>
      <c r="AK150" s="37">
        <f>AA150-AI150</f>
        <v>7.3491802127096773E-2</v>
      </c>
      <c r="AM150" s="106">
        <f>($G$14*AA150)-($G$15*AI150)</f>
        <v>11.042204657974693</v>
      </c>
    </row>
    <row r="151" spans="1:39" x14ac:dyDescent="0.2">
      <c r="A151" s="24">
        <v>45565</v>
      </c>
      <c r="B151" s="4"/>
      <c r="C151" s="25">
        <v>0.41249999999999998</v>
      </c>
      <c r="D151" s="4"/>
      <c r="E151" s="15">
        <v>0.3116666666666667</v>
      </c>
      <c r="F151" s="4">
        <v>0.33250000000000002</v>
      </c>
      <c r="G151" s="4">
        <v>0.38083333333333336</v>
      </c>
      <c r="H151" s="15">
        <v>0.18956425227609763</v>
      </c>
      <c r="I151" s="15">
        <v>1.4852184347318942</v>
      </c>
      <c r="J151" s="4">
        <f t="shared" si="30"/>
        <v>1.605255173822917</v>
      </c>
      <c r="K151" s="15">
        <v>9.1666666666666667E-3</v>
      </c>
      <c r="L151" s="4">
        <v>4.9166666666666664E-2</v>
      </c>
      <c r="M151" s="16">
        <v>0.10083333333333333</v>
      </c>
      <c r="N151" s="4"/>
      <c r="O151" s="22">
        <v>-1.5252174519999999</v>
      </c>
      <c r="P151" s="22">
        <v>0.17951494900000001</v>
      </c>
      <c r="Q151" s="22">
        <v>2.9723648709999999</v>
      </c>
      <c r="R151" s="16">
        <f t="shared" si="24"/>
        <v>2.0917342782631922</v>
      </c>
      <c r="S151" s="4"/>
      <c r="T151" s="22">
        <v>2.5440592259999999</v>
      </c>
      <c r="U151" s="4">
        <f t="shared" si="25"/>
        <v>2.1578533402865601</v>
      </c>
      <c r="V151" s="22">
        <v>1.4490587749999999</v>
      </c>
      <c r="W151" s="4">
        <f t="shared" si="26"/>
        <v>1.3248521867571714</v>
      </c>
      <c r="X151" s="4">
        <v>0.42749999999999999</v>
      </c>
      <c r="Y151" s="4">
        <f t="shared" si="31"/>
        <v>-1.5000000000000013E-2</v>
      </c>
      <c r="Z151" s="4">
        <f t="shared" si="27"/>
        <v>1.3098521867571713</v>
      </c>
      <c r="AA151" s="37">
        <f t="shared" si="20"/>
        <v>6.2862567183433013E-2</v>
      </c>
      <c r="AB151" s="35"/>
      <c r="AC151" s="205">
        <f t="shared" si="21"/>
        <v>0.3116666666666667</v>
      </c>
      <c r="AD151" s="205">
        <f t="shared" si="22"/>
        <v>0.33250000000000002</v>
      </c>
      <c r="AE151" s="202">
        <f>G151</f>
        <v>0.38083333333333336</v>
      </c>
      <c r="AF151" s="15">
        <f t="shared" ref="AF151:AF166" si="32">K151</f>
        <v>9.1666666666666667E-3</v>
      </c>
      <c r="AG151" s="15">
        <f t="shared" ref="AG151:AG166" si="33">L151</f>
        <v>4.9166666666666664E-2</v>
      </c>
      <c r="AH151" s="15">
        <f>M151</f>
        <v>0.10083333333333333</v>
      </c>
      <c r="AI151" s="200">
        <f t="shared" si="23"/>
        <v>0.12755555555555556</v>
      </c>
      <c r="AK151" s="37">
        <f>AA151-AI151</f>
        <v>-6.4692988372122548E-2</v>
      </c>
      <c r="AM151" s="106">
        <f>($G$14*AA151)-($G$15*AI151)</f>
        <v>-9.764960495190822</v>
      </c>
    </row>
    <row r="152" spans="1:39" x14ac:dyDescent="0.2">
      <c r="A152" s="24">
        <v>45596</v>
      </c>
      <c r="B152" s="4"/>
      <c r="C152" s="25">
        <v>0.41249999999999998</v>
      </c>
      <c r="D152" s="4"/>
      <c r="E152" s="15">
        <v>0.34833333333333333</v>
      </c>
      <c r="F152" s="4">
        <v>0.36749999999999999</v>
      </c>
      <c r="G152" s="4">
        <v>0.40583333333333332</v>
      </c>
      <c r="H152" s="15">
        <v>-1.314240774757125</v>
      </c>
      <c r="I152" s="15">
        <v>-0.53960859748704015</v>
      </c>
      <c r="J152" s="4">
        <f t="shared" ref="J152:J166" si="34">(I152-$D$14*I151)/(1-$D$14)</f>
        <v>-3.5768491458154417</v>
      </c>
      <c r="K152" s="15">
        <v>2.4999999999999998E-2</v>
      </c>
      <c r="L152" s="4">
        <v>6.9999999999999993E-2</v>
      </c>
      <c r="M152" s="16">
        <v>0.11583333333333333</v>
      </c>
      <c r="N152" s="4"/>
      <c r="O152" s="22">
        <v>-1.566095112</v>
      </c>
      <c r="P152" s="22">
        <v>2.6658164640000002</v>
      </c>
      <c r="Q152" s="22">
        <v>3.9455780730000001</v>
      </c>
      <c r="R152" s="16">
        <f t="shared" si="24"/>
        <v>3.5748093140526387</v>
      </c>
      <c r="S152" s="4"/>
      <c r="T152" s="22">
        <v>-7.8126747730000004</v>
      </c>
      <c r="U152" s="4">
        <f t="shared" si="25"/>
        <v>-5.8185691503426886</v>
      </c>
      <c r="V152" s="22">
        <v>-0.57604471999999995</v>
      </c>
      <c r="W152" s="4">
        <f t="shared" si="26"/>
        <v>-0.1958653386485657</v>
      </c>
      <c r="X152" s="4">
        <v>0.40250000000000002</v>
      </c>
      <c r="Y152" s="4">
        <f t="shared" si="31"/>
        <v>9.9999999999999534E-3</v>
      </c>
      <c r="Z152" s="4">
        <f t="shared" si="27"/>
        <v>-0.18586533864856575</v>
      </c>
      <c r="AA152" s="37">
        <f t="shared" ref="AA152:AA166" si="35">$C$21*C152+SUMPRODUCT($E$21:$H$21,E152:H152)+$I$21*J152+SUMPRODUCT($K$21:$M$21,K152:M152)+SUMPRODUCT($O$21:$P$21,O152:P152)+$Q$21*R152+$T$21*U152+$V$21*Z152</f>
        <v>1.5244628300109645E-2</v>
      </c>
      <c r="AB152" s="35"/>
      <c r="AC152" s="205">
        <f t="shared" ref="AC152:AC166" si="36">E152</f>
        <v>0.34833333333333333</v>
      </c>
      <c r="AD152" s="205">
        <f t="shared" ref="AD152:AD166" si="37">F152</f>
        <v>0.36749999999999999</v>
      </c>
      <c r="AE152" s="202">
        <f>G152</f>
        <v>0.40583333333333332</v>
      </c>
      <c r="AF152" s="15">
        <f t="shared" si="32"/>
        <v>2.4999999999999998E-2</v>
      </c>
      <c r="AG152" s="15">
        <f t="shared" si="33"/>
        <v>6.9999999999999993E-2</v>
      </c>
      <c r="AH152" s="15">
        <f>M152</f>
        <v>0.11583333333333333</v>
      </c>
      <c r="AI152" s="200">
        <f t="shared" ref="AI152:AI166" si="38">SUMPRODUCT($AC$21:$AH$21,AC152:AH152)</f>
        <v>0.14874999999999999</v>
      </c>
      <c r="AK152" s="37">
        <f>AA152-AI152</f>
        <v>-0.13350537169989035</v>
      </c>
      <c r="AM152" s="106">
        <f>($G$14*AA152)-($G$15*AI152)</f>
        <v>-20.130356419674101</v>
      </c>
    </row>
    <row r="153" spans="1:39" x14ac:dyDescent="0.2">
      <c r="A153" s="24">
        <v>45626</v>
      </c>
      <c r="B153" s="4"/>
      <c r="C153" s="25">
        <v>0.395633333333333</v>
      </c>
      <c r="D153" s="4"/>
      <c r="E153" s="15">
        <v>0.33333333333333331</v>
      </c>
      <c r="F153" s="4">
        <v>0.35250000000000004</v>
      </c>
      <c r="G153" s="4">
        <v>0.39583333333333331</v>
      </c>
      <c r="H153" s="15">
        <v>1.793439335899405</v>
      </c>
      <c r="I153" s="15">
        <v>1.3354588315085736</v>
      </c>
      <c r="J153" s="4">
        <f t="shared" si="34"/>
        <v>4.1480599750019937</v>
      </c>
      <c r="K153" s="15">
        <v>4.1666666666666666E-3</v>
      </c>
      <c r="L153" s="4">
        <v>6.25E-2</v>
      </c>
      <c r="M153" s="16">
        <v>0.11499999999999999</v>
      </c>
      <c r="N153" s="4"/>
      <c r="O153" s="22">
        <v>2.643689814</v>
      </c>
      <c r="P153" s="22">
        <v>5.6759790140000002</v>
      </c>
      <c r="Q153" s="22">
        <v>9.7849281460000004</v>
      </c>
      <c r="R153" s="16">
        <f t="shared" ref="R153:R166" si="39">$D$15*R152+(1-$D$15)*Q153</f>
        <v>8.542904379610528</v>
      </c>
      <c r="S153" s="4"/>
      <c r="T153" s="22">
        <v>-1.0485873109999999</v>
      </c>
      <c r="U153" s="4">
        <f t="shared" ref="U153:U166" si="40">$D$16*U152+(1-$D$16)*T153</f>
        <v>-2.0025836788685378</v>
      </c>
      <c r="V153" s="22">
        <v>2.258657039</v>
      </c>
      <c r="W153" s="4">
        <f t="shared" ref="W153:W166" si="41">$D$17*W152+(1-$D$17)*V153</f>
        <v>1.7677525634702871</v>
      </c>
      <c r="X153" s="4">
        <v>0.38666666666666666</v>
      </c>
      <c r="Y153" s="4">
        <f t="shared" si="31"/>
        <v>8.9666666666663453E-3</v>
      </c>
      <c r="Z153" s="4">
        <f t="shared" si="27"/>
        <v>1.7767192301369534</v>
      </c>
      <c r="AA153" s="37">
        <f t="shared" si="35"/>
        <v>2.5118747000438195</v>
      </c>
      <c r="AB153" s="35"/>
      <c r="AC153" s="205">
        <f t="shared" si="36"/>
        <v>0.33333333333333331</v>
      </c>
      <c r="AD153" s="205">
        <f t="shared" si="37"/>
        <v>0.35250000000000004</v>
      </c>
      <c r="AE153" s="202">
        <f>G153</f>
        <v>0.39583333333333331</v>
      </c>
      <c r="AF153" s="15">
        <f t="shared" si="32"/>
        <v>4.1666666666666666E-3</v>
      </c>
      <c r="AG153" s="15">
        <f t="shared" si="33"/>
        <v>6.25E-2</v>
      </c>
      <c r="AH153" s="15">
        <f>M153</f>
        <v>0.11499999999999999</v>
      </c>
      <c r="AI153" s="200">
        <f t="shared" si="38"/>
        <v>0.13879166666666667</v>
      </c>
      <c r="AK153" s="37">
        <f>AA153-AI153</f>
        <v>2.3730830333771529</v>
      </c>
      <c r="AM153" s="106">
        <f>($G$14*AA153)-($G$15*AI153)</f>
        <v>357.30167410226568</v>
      </c>
    </row>
    <row r="154" spans="1:39" x14ac:dyDescent="0.2">
      <c r="A154" s="24">
        <v>45657</v>
      </c>
      <c r="B154" s="4"/>
      <c r="C154" s="25">
        <v>0.391666666666667</v>
      </c>
      <c r="D154" s="4"/>
      <c r="E154" s="15">
        <v>0.34833333333333333</v>
      </c>
      <c r="F154" s="4">
        <v>0.38083333333333336</v>
      </c>
      <c r="G154" s="4">
        <v>0.42749999999999999</v>
      </c>
      <c r="H154" s="15">
        <v>-0.42121451932808363</v>
      </c>
      <c r="I154" s="15">
        <v>7.9175318373281289E-2</v>
      </c>
      <c r="J154" s="4">
        <f t="shared" si="34"/>
        <v>-1.8052499513296572</v>
      </c>
      <c r="K154" s="15">
        <v>2.4999999999999998E-2</v>
      </c>
      <c r="L154" s="4">
        <v>9.0833333333333335E-2</v>
      </c>
      <c r="M154" s="16">
        <v>0.14416666666666667</v>
      </c>
      <c r="N154" s="4"/>
      <c r="O154" s="22">
        <v>-1.2198332700000001</v>
      </c>
      <c r="P154" s="22">
        <v>-0.66471319900000003</v>
      </c>
      <c r="Q154" s="22">
        <v>-3.4526876909999999</v>
      </c>
      <c r="R154" s="16">
        <f t="shared" si="39"/>
        <v>-1.0535692768778946</v>
      </c>
      <c r="S154" s="4"/>
      <c r="T154" s="22">
        <v>-6.5002337460000001</v>
      </c>
      <c r="U154" s="4">
        <f t="shared" si="40"/>
        <v>-5.6007037325737077</v>
      </c>
      <c r="V154" s="22">
        <v>-1.561271753</v>
      </c>
      <c r="W154" s="4">
        <f t="shared" si="41"/>
        <v>-0.89546688970594257</v>
      </c>
      <c r="X154" s="4">
        <v>0.37333333333333335</v>
      </c>
      <c r="Y154" s="4">
        <f t="shared" si="31"/>
        <v>1.8333333333333646E-2</v>
      </c>
      <c r="Z154" s="4">
        <f t="shared" si="27"/>
        <v>-0.87713355637260892</v>
      </c>
      <c r="AA154" s="37">
        <f t="shared" si="35"/>
        <v>-0.73047275946122014</v>
      </c>
      <c r="AB154" s="35"/>
      <c r="AC154" s="205">
        <f t="shared" si="36"/>
        <v>0.34833333333333333</v>
      </c>
      <c r="AD154" s="205">
        <f t="shared" si="37"/>
        <v>0.38083333333333336</v>
      </c>
      <c r="AE154" s="202">
        <f>G154</f>
        <v>0.42749999999999999</v>
      </c>
      <c r="AF154" s="15">
        <f t="shared" si="32"/>
        <v>2.4999999999999998E-2</v>
      </c>
      <c r="AG154" s="15">
        <f t="shared" si="33"/>
        <v>9.0833333333333335E-2</v>
      </c>
      <c r="AH154" s="15">
        <f>M154</f>
        <v>0.14416666666666667</v>
      </c>
      <c r="AI154" s="200">
        <f t="shared" si="38"/>
        <v>0.16522222222222221</v>
      </c>
      <c r="AK154" s="37">
        <f>AA154-AI154</f>
        <v>-0.8956949816834423</v>
      </c>
      <c r="AM154" s="106">
        <f>($G$14*AA154)-($G$15*AI154)</f>
        <v>-134.90031971814065</v>
      </c>
    </row>
    <row r="155" spans="1:39" x14ac:dyDescent="0.2">
      <c r="A155" s="24">
        <v>45688</v>
      </c>
      <c r="B155" s="4"/>
      <c r="C155" s="25">
        <v>0.39168333333333299</v>
      </c>
      <c r="D155" s="4"/>
      <c r="E155" s="15">
        <v>0.33583333333333337</v>
      </c>
      <c r="F155" s="4">
        <v>0.37833333333333335</v>
      </c>
      <c r="G155" s="4">
        <v>0.42583333333333334</v>
      </c>
      <c r="H155" s="15">
        <v>0.70045814312970078</v>
      </c>
      <c r="I155" s="15">
        <v>1.2374258879166544</v>
      </c>
      <c r="J155" s="4">
        <f t="shared" si="34"/>
        <v>2.9748017422317141</v>
      </c>
      <c r="K155" s="15">
        <v>-7.4999999999999997E-3</v>
      </c>
      <c r="L155" s="4">
        <v>0.08</v>
      </c>
      <c r="M155" s="16">
        <v>0.13999999999999999</v>
      </c>
      <c r="N155" s="4"/>
      <c r="O155" s="22">
        <v>6.1970993830000003</v>
      </c>
      <c r="P155" s="22">
        <v>4.5288034259999996</v>
      </c>
      <c r="Q155" s="22">
        <v>7.9131448689999999</v>
      </c>
      <c r="R155" s="16">
        <f t="shared" si="39"/>
        <v>6.1198020398244219</v>
      </c>
      <c r="S155" s="4"/>
      <c r="T155" s="22">
        <v>1.864149353</v>
      </c>
      <c r="U155" s="4">
        <f t="shared" si="40"/>
        <v>0.37117873588525852</v>
      </c>
      <c r="V155" s="22">
        <v>1.6119731719999999</v>
      </c>
      <c r="W155" s="4">
        <f t="shared" si="41"/>
        <v>1.1104851596588114</v>
      </c>
      <c r="X155" s="4">
        <v>0.36083333333333334</v>
      </c>
      <c r="Y155" s="4">
        <f t="shared" si="31"/>
        <v>3.0849999999999655E-2</v>
      </c>
      <c r="Z155" s="4">
        <f t="shared" si="27"/>
        <v>1.141335159658811</v>
      </c>
      <c r="AA155" s="37">
        <f t="shared" si="35"/>
        <v>2.664630651168546</v>
      </c>
      <c r="AB155" s="35"/>
      <c r="AC155" s="205">
        <f t="shared" si="36"/>
        <v>0.33583333333333337</v>
      </c>
      <c r="AD155" s="205">
        <f t="shared" si="37"/>
        <v>0.37833333333333335</v>
      </c>
      <c r="AE155" s="202">
        <f>G155</f>
        <v>0.42583333333333334</v>
      </c>
      <c r="AF155" s="15">
        <f t="shared" si="32"/>
        <v>-7.4999999999999997E-3</v>
      </c>
      <c r="AG155" s="15">
        <f t="shared" si="33"/>
        <v>0.08</v>
      </c>
      <c r="AH155" s="15">
        <f>M155</f>
        <v>0.13999999999999999</v>
      </c>
      <c r="AI155" s="200">
        <f t="shared" si="38"/>
        <v>0.15320833333333334</v>
      </c>
      <c r="AK155" s="37">
        <f>AA155-AI155</f>
        <v>2.5114223178352129</v>
      </c>
      <c r="AM155" s="106">
        <f>($G$14*AA155)-($G$15*AI155)</f>
        <v>378.12945659567839</v>
      </c>
    </row>
    <row r="156" spans="1:39" x14ac:dyDescent="0.2">
      <c r="A156" s="24">
        <v>45716</v>
      </c>
      <c r="B156" s="4"/>
      <c r="C156" s="25">
        <v>0.37432500000000002</v>
      </c>
      <c r="D156" s="4"/>
      <c r="E156" s="15">
        <v>0.33083333333333337</v>
      </c>
      <c r="F156" s="4">
        <v>0.37333333333333335</v>
      </c>
      <c r="G156" s="4">
        <v>0.42166666666666663</v>
      </c>
      <c r="H156" s="15">
        <v>0.48173527391317528</v>
      </c>
      <c r="I156" s="15">
        <v>0.65486590224408392</v>
      </c>
      <c r="J156" s="4">
        <f t="shared" si="34"/>
        <v>-0.21897407626477183</v>
      </c>
      <c r="K156" s="15">
        <v>8.3333333333333332E-3</v>
      </c>
      <c r="L156" s="4">
        <v>8.7500000000000008E-2</v>
      </c>
      <c r="M156" s="16">
        <v>0.14583333333333334</v>
      </c>
      <c r="N156" s="4"/>
      <c r="O156" s="22">
        <v>1.816891222</v>
      </c>
      <c r="P156" s="22">
        <v>-3.6209469319999998</v>
      </c>
      <c r="Q156" s="22">
        <v>-7.0635019059999999</v>
      </c>
      <c r="R156" s="16">
        <f t="shared" si="39"/>
        <v>-4.4268411168351154</v>
      </c>
      <c r="S156" s="4"/>
      <c r="T156" s="22">
        <v>-1.579722445</v>
      </c>
      <c r="U156" s="4">
        <f t="shared" si="40"/>
        <v>-1.1895422088229486</v>
      </c>
      <c r="V156" s="22">
        <v>-0.59848269600000004</v>
      </c>
      <c r="W156" s="4">
        <f t="shared" si="41"/>
        <v>-0.25668912486823769</v>
      </c>
      <c r="X156" s="4">
        <v>0.36083333333333334</v>
      </c>
      <c r="Y156" s="4">
        <f t="shared" si="31"/>
        <v>1.349166666666668E-2</v>
      </c>
      <c r="Z156" s="4">
        <f t="shared" si="27"/>
        <v>-0.24319745820157102</v>
      </c>
      <c r="AA156" s="37">
        <f t="shared" si="35"/>
        <v>-0.63980558944311527</v>
      </c>
      <c r="AB156" s="35"/>
      <c r="AC156" s="205">
        <f t="shared" si="36"/>
        <v>0.33083333333333337</v>
      </c>
      <c r="AD156" s="205">
        <f t="shared" si="37"/>
        <v>0.37333333333333335</v>
      </c>
      <c r="AE156" s="202">
        <f>G156</f>
        <v>0.42166666666666663</v>
      </c>
      <c r="AF156" s="15">
        <f t="shared" si="32"/>
        <v>8.3333333333333332E-3</v>
      </c>
      <c r="AG156" s="15">
        <f t="shared" si="33"/>
        <v>8.7500000000000008E-2</v>
      </c>
      <c r="AH156" s="15">
        <f>M156</f>
        <v>0.14583333333333334</v>
      </c>
      <c r="AI156" s="200">
        <f t="shared" si="38"/>
        <v>0.15890277777777778</v>
      </c>
      <c r="AK156" s="37">
        <f>AA156-AI156</f>
        <v>-0.798708367220893</v>
      </c>
      <c r="AM156" s="106">
        <f>($G$14*AA156)-($G$15*AI156)</f>
        <v>-120.29535711858959</v>
      </c>
    </row>
    <row r="157" spans="1:39" x14ac:dyDescent="0.2">
      <c r="A157" s="24">
        <v>45747</v>
      </c>
      <c r="B157" s="4"/>
      <c r="C157" s="25">
        <v>0.37129166666666702</v>
      </c>
      <c r="D157" s="4"/>
      <c r="E157" s="15">
        <v>0.33583333333333337</v>
      </c>
      <c r="F157" s="4">
        <v>0.38833333333333336</v>
      </c>
      <c r="G157" s="4">
        <v>0.44083333333333335</v>
      </c>
      <c r="H157" s="15">
        <v>-1.516629863204555</v>
      </c>
      <c r="I157" s="15">
        <v>-1.0192529352492929</v>
      </c>
      <c r="J157" s="4">
        <f t="shared" si="34"/>
        <v>-3.5304311914893582</v>
      </c>
      <c r="K157" s="15">
        <v>0</v>
      </c>
      <c r="L157" s="4">
        <v>0.10083333333333333</v>
      </c>
      <c r="M157" s="16">
        <v>0.16083333333333333</v>
      </c>
      <c r="N157" s="4"/>
      <c r="O157" s="22">
        <v>-1.915671031</v>
      </c>
      <c r="P157" s="22">
        <v>-6.8423767680000003</v>
      </c>
      <c r="Q157" s="22">
        <v>-10.36131129</v>
      </c>
      <c r="R157" s="16">
        <f t="shared" si="39"/>
        <v>-9.1744172553670218</v>
      </c>
      <c r="S157" s="4"/>
      <c r="T157" s="22">
        <v>1.24542818</v>
      </c>
      <c r="U157" s="4">
        <f t="shared" si="40"/>
        <v>0.7584341022354103</v>
      </c>
      <c r="V157" s="22">
        <v>-1.2927984990000001</v>
      </c>
      <c r="W157" s="4">
        <f t="shared" si="41"/>
        <v>-1.0855766241736478</v>
      </c>
      <c r="X157" s="4">
        <v>0.36083333333333334</v>
      </c>
      <c r="Y157" s="4">
        <f t="shared" si="31"/>
        <v>1.045833333333368E-2</v>
      </c>
      <c r="Z157" s="4">
        <f t="shared" si="27"/>
        <v>-1.0751182908403141</v>
      </c>
      <c r="AA157" s="37">
        <f t="shared" si="35"/>
        <v>-2.5680570998352561</v>
      </c>
      <c r="AB157" s="35"/>
      <c r="AC157" s="205">
        <f t="shared" si="36"/>
        <v>0.33583333333333337</v>
      </c>
      <c r="AD157" s="205">
        <f t="shared" si="37"/>
        <v>0.38833333333333336</v>
      </c>
      <c r="AE157" s="202">
        <f>G157</f>
        <v>0.44083333333333335</v>
      </c>
      <c r="AF157" s="15">
        <f t="shared" si="32"/>
        <v>0</v>
      </c>
      <c r="AG157" s="15">
        <f t="shared" si="33"/>
        <v>0.10083333333333333</v>
      </c>
      <c r="AH157" s="15">
        <f>M157</f>
        <v>0.16083333333333333</v>
      </c>
      <c r="AI157" s="200">
        <f t="shared" si="38"/>
        <v>0.16841666666666666</v>
      </c>
      <c r="AK157" s="37">
        <f>AA157-AI157</f>
        <v>-2.7364737665019225</v>
      </c>
      <c r="AM157" s="106">
        <f>($G$14*AA157)-($G$15*AI157)</f>
        <v>-412.07663912579483</v>
      </c>
    </row>
    <row r="158" spans="1:39" x14ac:dyDescent="0.2">
      <c r="A158" s="24">
        <v>45777</v>
      </c>
      <c r="B158" s="4"/>
      <c r="C158" s="25">
        <v>0.371475</v>
      </c>
      <c r="D158" s="4"/>
      <c r="E158" s="15">
        <v>0.30416666666666664</v>
      </c>
      <c r="F158" s="4">
        <v>0.37083333333333335</v>
      </c>
      <c r="G158" s="4">
        <v>0.43583333333333335</v>
      </c>
      <c r="H158" s="15">
        <v>1.5942032494633107</v>
      </c>
      <c r="I158" s="15">
        <v>0.72790379654517068</v>
      </c>
      <c r="J158" s="4">
        <f t="shared" si="34"/>
        <v>3.3486388942368661</v>
      </c>
      <c r="K158" s="15">
        <v>3.3333333333333335E-3</v>
      </c>
      <c r="L158" s="4">
        <v>9.9166666666666667E-2</v>
      </c>
      <c r="M158" s="16">
        <v>0.16749999999999998</v>
      </c>
      <c r="N158" s="4"/>
      <c r="O158" s="22">
        <v>-0.38658246400000001</v>
      </c>
      <c r="P158" s="22">
        <v>-2.075190632</v>
      </c>
      <c r="Q158" s="22">
        <v>-2.5386150629999999</v>
      </c>
      <c r="R158" s="16">
        <f t="shared" si="39"/>
        <v>-3.8657755014734043</v>
      </c>
      <c r="S158" s="4"/>
      <c r="T158" s="22">
        <v>4.8681377130000003</v>
      </c>
      <c r="U158" s="4">
        <f t="shared" si="40"/>
        <v>4.0461969908470827</v>
      </c>
      <c r="V158" s="22">
        <v>-0.13147286599999999</v>
      </c>
      <c r="W158" s="4">
        <f t="shared" si="41"/>
        <v>-0.32229361763472958</v>
      </c>
      <c r="X158" s="4">
        <v>0.36083333333333334</v>
      </c>
      <c r="Y158" s="4">
        <f t="shared" si="31"/>
        <v>1.064166666666666E-2</v>
      </c>
      <c r="Z158" s="4">
        <f t="shared" si="27"/>
        <v>-0.31165195096806292</v>
      </c>
      <c r="AA158" s="37">
        <f t="shared" si="35"/>
        <v>-0.12574664360828455</v>
      </c>
      <c r="AB158" s="35"/>
      <c r="AC158" s="205">
        <f t="shared" si="36"/>
        <v>0.30416666666666664</v>
      </c>
      <c r="AD158" s="205">
        <f t="shared" si="37"/>
        <v>0.37083333333333335</v>
      </c>
      <c r="AE158" s="202">
        <f>G158</f>
        <v>0.43583333333333335</v>
      </c>
      <c r="AF158" s="15">
        <f t="shared" si="32"/>
        <v>3.3333333333333335E-3</v>
      </c>
      <c r="AG158" s="15">
        <f t="shared" si="33"/>
        <v>9.9166666666666667E-2</v>
      </c>
      <c r="AH158" s="15">
        <f>M158</f>
        <v>0.16749999999999998</v>
      </c>
      <c r="AI158" s="200">
        <f t="shared" si="38"/>
        <v>0.16597222222222222</v>
      </c>
      <c r="AK158" s="37">
        <f>AA158-AI158</f>
        <v>-0.29171886583050677</v>
      </c>
      <c r="AM158" s="106">
        <f>($G$14*AA158)-($G$15*AI158)</f>
        <v>-43.956605756143112</v>
      </c>
    </row>
    <row r="159" spans="1:39" x14ac:dyDescent="0.2">
      <c r="A159" s="24">
        <v>45808</v>
      </c>
      <c r="B159" s="4"/>
      <c r="C159" s="25">
        <v>0.35503333333333298</v>
      </c>
      <c r="D159" s="4"/>
      <c r="E159" s="15">
        <v>0.32583333333333336</v>
      </c>
      <c r="F159" s="4">
        <v>0.38916666666666666</v>
      </c>
      <c r="G159" s="4">
        <v>0.45</v>
      </c>
      <c r="H159" s="15">
        <v>-7.1147712474350921E-2</v>
      </c>
      <c r="I159" s="15">
        <v>1.2413649855898656</v>
      </c>
      <c r="J159" s="4">
        <f t="shared" si="34"/>
        <v>2.0115567691569081</v>
      </c>
      <c r="K159" s="15">
        <v>2.4999999999999998E-2</v>
      </c>
      <c r="L159" s="4">
        <v>0.1225</v>
      </c>
      <c r="M159" s="16">
        <v>0.18166666666666667</v>
      </c>
      <c r="N159" s="4"/>
      <c r="O159" s="22">
        <v>3.704568901</v>
      </c>
      <c r="P159" s="22">
        <v>5.4633253460000004</v>
      </c>
      <c r="Q159" s="22">
        <v>3.30281957</v>
      </c>
      <c r="R159" s="16">
        <f t="shared" si="39"/>
        <v>1.8691005557053191</v>
      </c>
      <c r="S159" s="4"/>
      <c r="T159" s="22">
        <v>3.1770521</v>
      </c>
      <c r="U159" s="4">
        <f t="shared" si="40"/>
        <v>3.3508810781694169</v>
      </c>
      <c r="V159" s="22">
        <v>1.9137827249999999</v>
      </c>
      <c r="W159" s="4">
        <f t="shared" si="41"/>
        <v>1.4665674564730542</v>
      </c>
      <c r="X159" s="4">
        <v>0.36083333333333334</v>
      </c>
      <c r="Y159" s="4">
        <f t="shared" si="31"/>
        <v>-5.8000000000003604E-3</v>
      </c>
      <c r="Z159" s="4">
        <f t="shared" si="27"/>
        <v>1.4607674564730537</v>
      </c>
      <c r="AA159" s="37">
        <f t="shared" si="35"/>
        <v>2.3878145236429944</v>
      </c>
      <c r="AB159" s="35"/>
      <c r="AC159" s="205">
        <f t="shared" si="36"/>
        <v>0.32583333333333336</v>
      </c>
      <c r="AD159" s="205">
        <f t="shared" si="37"/>
        <v>0.38916666666666666</v>
      </c>
      <c r="AE159" s="202">
        <f>G159</f>
        <v>0.45</v>
      </c>
      <c r="AF159" s="15">
        <f t="shared" si="32"/>
        <v>2.4999999999999998E-2</v>
      </c>
      <c r="AG159" s="15">
        <f t="shared" si="33"/>
        <v>0.1225</v>
      </c>
      <c r="AH159" s="15">
        <f>M159</f>
        <v>0.18166666666666667</v>
      </c>
      <c r="AI159" s="200">
        <f t="shared" si="38"/>
        <v>0.18530555555555556</v>
      </c>
      <c r="AK159" s="37">
        <f>AA159-AI159</f>
        <v>2.202508968087439</v>
      </c>
      <c r="AM159" s="106">
        <f>($G$14*AA159)-($G$15*AI159)</f>
        <v>331.60876382556251</v>
      </c>
    </row>
    <row r="160" spans="1:39" x14ac:dyDescent="0.2">
      <c r="A160" s="24">
        <v>45838</v>
      </c>
      <c r="B160" s="4"/>
      <c r="C160" s="25">
        <v>0.35120000000000001</v>
      </c>
      <c r="D160" s="4"/>
      <c r="E160" s="15">
        <v>0.30833333333333335</v>
      </c>
      <c r="F160" s="4">
        <v>0.3758333333333333</v>
      </c>
      <c r="G160" s="4">
        <v>0.44166666666666665</v>
      </c>
      <c r="H160" s="15">
        <v>1.7385427153568167</v>
      </c>
      <c r="I160" s="15">
        <v>0.90650884302243551</v>
      </c>
      <c r="J160" s="4">
        <f t="shared" si="34"/>
        <v>0.40422462917129032</v>
      </c>
      <c r="K160" s="15">
        <v>3.9166666666666662E-2</v>
      </c>
      <c r="L160" s="4">
        <v>0.11916666666666666</v>
      </c>
      <c r="M160" s="16">
        <v>0.17416666666666666</v>
      </c>
      <c r="N160" s="4"/>
      <c r="O160" s="22">
        <v>-1.3564522000000001E-2</v>
      </c>
      <c r="P160" s="22">
        <v>2.6825173389999999</v>
      </c>
      <c r="Q160" s="22">
        <v>3.1231494259999999</v>
      </c>
      <c r="R160" s="16">
        <f t="shared" si="39"/>
        <v>2.872339651941064</v>
      </c>
      <c r="S160" s="4"/>
      <c r="T160" s="22">
        <v>1.15391657</v>
      </c>
      <c r="U160" s="4">
        <f t="shared" si="40"/>
        <v>1.5933094716338836</v>
      </c>
      <c r="V160" s="22">
        <v>1.557229207</v>
      </c>
      <c r="W160" s="4">
        <f t="shared" si="41"/>
        <v>1.5390968568946111</v>
      </c>
      <c r="X160" s="4">
        <v>0.36083333333333334</v>
      </c>
      <c r="Y160" s="4">
        <f t="shared" si="31"/>
        <v>-9.6333333333333271E-3</v>
      </c>
      <c r="Z160" s="4">
        <f t="shared" si="27"/>
        <v>1.5294635235612777</v>
      </c>
      <c r="AA160" s="37">
        <f t="shared" si="35"/>
        <v>1.3006576888791135</v>
      </c>
      <c r="AB160" s="35"/>
      <c r="AC160" s="205">
        <f t="shared" si="36"/>
        <v>0.30833333333333335</v>
      </c>
      <c r="AD160" s="205">
        <f t="shared" si="37"/>
        <v>0.3758333333333333</v>
      </c>
      <c r="AE160" s="202">
        <f>G160</f>
        <v>0.44166666666666665</v>
      </c>
      <c r="AF160" s="15">
        <f t="shared" si="32"/>
        <v>3.9166666666666662E-2</v>
      </c>
      <c r="AG160" s="15">
        <f t="shared" si="33"/>
        <v>0.11916666666666666</v>
      </c>
      <c r="AH160" s="15">
        <f>M160</f>
        <v>0.17416666666666666</v>
      </c>
      <c r="AI160" s="200">
        <f t="shared" si="38"/>
        <v>0.18206944444444445</v>
      </c>
      <c r="AK160" s="37">
        <f>AA160-AI160</f>
        <v>1.1185882444346691</v>
      </c>
      <c r="AM160" s="106">
        <f>($G$14*AA160)-($G$15*AI160)</f>
        <v>168.39773498159883</v>
      </c>
    </row>
    <row r="161" spans="1:39" x14ac:dyDescent="0.2">
      <c r="A161" s="24">
        <v>45869</v>
      </c>
      <c r="B161" s="4"/>
      <c r="C161" s="25">
        <v>0.35143333333333299</v>
      </c>
      <c r="D161" s="4"/>
      <c r="E161" s="15">
        <v>0.31083333333333335</v>
      </c>
      <c r="F161" s="4">
        <v>0.3833333333333333</v>
      </c>
      <c r="G161" s="4">
        <v>0.45083333333333336</v>
      </c>
      <c r="H161" s="15">
        <v>0.3135479471914171</v>
      </c>
      <c r="I161" s="15">
        <v>1.0479703933691575</v>
      </c>
      <c r="J161" s="4">
        <f t="shared" si="34"/>
        <v>1.2601627188892406</v>
      </c>
      <c r="K161" s="15">
        <v>3.2500000000000001E-2</v>
      </c>
      <c r="L161" s="4">
        <v>0.12</v>
      </c>
      <c r="M161" s="16">
        <v>0.18083333333333332</v>
      </c>
      <c r="N161" s="4"/>
      <c r="O161" s="22">
        <v>4.2944721169999998</v>
      </c>
      <c r="P161" s="22">
        <v>5.565965802</v>
      </c>
      <c r="Q161" s="22">
        <v>8.1025872759999995</v>
      </c>
      <c r="R161" s="16">
        <f t="shared" si="39"/>
        <v>7.0565377511882126</v>
      </c>
      <c r="S161" s="4"/>
      <c r="T161" s="22">
        <v>-4.5106919489999999</v>
      </c>
      <c r="U161" s="4">
        <f t="shared" si="40"/>
        <v>-3.2898916648732235</v>
      </c>
      <c r="V161" s="22">
        <v>0.66103807000000003</v>
      </c>
      <c r="W161" s="4">
        <f t="shared" si="41"/>
        <v>0.83664982737892224</v>
      </c>
      <c r="X161" s="4">
        <v>0.36083333333333334</v>
      </c>
      <c r="Y161" s="4">
        <f t="shared" si="31"/>
        <v>-9.4000000000003525E-3</v>
      </c>
      <c r="Z161" s="4">
        <f t="shared" si="27"/>
        <v>0.82724982737892194</v>
      </c>
      <c r="AA161" s="37">
        <f t="shared" si="35"/>
        <v>2.3644571963769208</v>
      </c>
      <c r="AB161" s="35"/>
      <c r="AC161" s="205">
        <f t="shared" si="36"/>
        <v>0.31083333333333335</v>
      </c>
      <c r="AD161" s="205">
        <f t="shared" si="37"/>
        <v>0.3833333333333333</v>
      </c>
      <c r="AE161" s="202">
        <f>G161</f>
        <v>0.45083333333333336</v>
      </c>
      <c r="AF161" s="15">
        <f t="shared" si="32"/>
        <v>3.2500000000000001E-2</v>
      </c>
      <c r="AG161" s="15">
        <f t="shared" si="33"/>
        <v>0.12</v>
      </c>
      <c r="AH161" s="15">
        <f>M161</f>
        <v>0.18083333333333332</v>
      </c>
      <c r="AI161" s="200">
        <f t="shared" si="38"/>
        <v>0.18433333333333332</v>
      </c>
      <c r="AK161" s="37">
        <f>AA161-AI161</f>
        <v>2.1801238630435873</v>
      </c>
      <c r="AM161" s="106">
        <f>($G$14*AA161)-($G$15*AI161)</f>
        <v>328.23830244989341</v>
      </c>
    </row>
    <row r="162" spans="1:39" x14ac:dyDescent="0.2">
      <c r="A162" s="24">
        <v>45900</v>
      </c>
      <c r="B162" s="4"/>
      <c r="C162" s="25">
        <v>0.33476666666666699</v>
      </c>
      <c r="D162" s="4"/>
      <c r="E162" s="15">
        <v>0.31916666666666665</v>
      </c>
      <c r="F162" s="4">
        <v>0.39749999999999996</v>
      </c>
      <c r="G162" s="4">
        <v>0.46833333333333332</v>
      </c>
      <c r="H162" s="15">
        <v>-0.59783655552254622</v>
      </c>
      <c r="I162" s="15">
        <v>0.60931087439360931</v>
      </c>
      <c r="J162" s="4">
        <f t="shared" si="34"/>
        <v>-4.8678404069713022E-2</v>
      </c>
      <c r="K162" s="15">
        <v>4.9166666666666664E-2</v>
      </c>
      <c r="L162" s="4">
        <v>0.13666666666666666</v>
      </c>
      <c r="M162" s="16">
        <v>0.20083333333333334</v>
      </c>
      <c r="N162" s="4"/>
      <c r="O162" s="22">
        <v>1.1733294700000001</v>
      </c>
      <c r="P162" s="22">
        <v>-0.15875193900000001</v>
      </c>
      <c r="Q162" s="22">
        <v>-2.041679529</v>
      </c>
      <c r="R162" s="16">
        <f t="shared" si="39"/>
        <v>-0.22203607296235739</v>
      </c>
      <c r="S162" s="4"/>
      <c r="T162" s="22">
        <v>-3.8689689550000002</v>
      </c>
      <c r="U162" s="4">
        <f t="shared" si="40"/>
        <v>-3.7531534969746452</v>
      </c>
      <c r="V162" s="22">
        <v>1.524258611</v>
      </c>
      <c r="W162" s="4">
        <f t="shared" si="41"/>
        <v>1.3867368542757845</v>
      </c>
      <c r="X162" s="4">
        <v>0.36083333333333334</v>
      </c>
      <c r="Y162" s="4">
        <f t="shared" si="31"/>
        <v>-2.6066666666666349E-2</v>
      </c>
      <c r="Z162" s="4">
        <f t="shared" si="27"/>
        <v>1.3606701876091183</v>
      </c>
      <c r="AA162" s="37">
        <f t="shared" si="35"/>
        <v>-3.7635693365227305E-2</v>
      </c>
      <c r="AB162" s="35"/>
      <c r="AC162" s="205">
        <f t="shared" si="36"/>
        <v>0.31916666666666665</v>
      </c>
      <c r="AD162" s="205">
        <f t="shared" si="37"/>
        <v>0.39749999999999996</v>
      </c>
      <c r="AE162" s="202">
        <f>G162</f>
        <v>0.46833333333333332</v>
      </c>
      <c r="AF162" s="15">
        <f t="shared" si="32"/>
        <v>4.9166666666666664E-2</v>
      </c>
      <c r="AG162" s="15">
        <f t="shared" si="33"/>
        <v>0.13666666666666666</v>
      </c>
      <c r="AH162" s="15">
        <f>M162</f>
        <v>0.20083333333333334</v>
      </c>
      <c r="AI162" s="200">
        <f t="shared" si="38"/>
        <v>0.20109722222222221</v>
      </c>
      <c r="AK162" s="37">
        <f>AA162-AI162</f>
        <v>-0.23873291558744952</v>
      </c>
      <c r="AM162" s="106">
        <f>($G$14*AA162)-($G$15*AI162)</f>
        <v>-35.984786289351916</v>
      </c>
    </row>
    <row r="163" spans="1:39" x14ac:dyDescent="0.2">
      <c r="A163" s="24">
        <v>45930</v>
      </c>
      <c r="B163" s="4"/>
      <c r="C163" s="25">
        <v>0.3306</v>
      </c>
      <c r="D163" s="4"/>
      <c r="E163" s="15">
        <v>0.32416666666666666</v>
      </c>
      <c r="F163" s="4">
        <v>0.39666666666666667</v>
      </c>
      <c r="G163" s="4">
        <v>0.46166666666666667</v>
      </c>
      <c r="H163" s="15">
        <v>1.0861495776478436</v>
      </c>
      <c r="I163" s="15">
        <v>0.77885232521909264</v>
      </c>
      <c r="J163" s="4">
        <f t="shared" si="34"/>
        <v>1.0331645014573176</v>
      </c>
      <c r="K163" s="15">
        <v>5.2499999999999998E-2</v>
      </c>
      <c r="L163" s="4">
        <v>0.13833333333333334</v>
      </c>
      <c r="M163" s="16">
        <v>0.19416666666666668</v>
      </c>
      <c r="N163" s="4"/>
      <c r="O163" s="22">
        <v>1.806807082</v>
      </c>
      <c r="P163" s="22">
        <v>3.2503009029999999</v>
      </c>
      <c r="Q163" s="22">
        <v>-3.3240842659999998</v>
      </c>
      <c r="R163" s="16">
        <f t="shared" si="39"/>
        <v>-2.7036746273924717</v>
      </c>
      <c r="S163" s="4"/>
      <c r="T163" s="22">
        <v>2.6424958169999999</v>
      </c>
      <c r="U163" s="4">
        <f t="shared" si="40"/>
        <v>1.3633659542050709</v>
      </c>
      <c r="V163" s="22">
        <v>1.800037804</v>
      </c>
      <c r="W163" s="4">
        <f t="shared" si="41"/>
        <v>1.7173776140551569</v>
      </c>
      <c r="X163" s="4">
        <v>0.35166666666666663</v>
      </c>
      <c r="Y163" s="4">
        <f t="shared" si="31"/>
        <v>-2.1066666666666622E-2</v>
      </c>
      <c r="Z163" s="4">
        <f t="shared" si="27"/>
        <v>1.6963109473884903</v>
      </c>
      <c r="AA163" s="37">
        <f t="shared" si="35"/>
        <v>1.5120608050198472</v>
      </c>
      <c r="AB163" s="35"/>
      <c r="AC163" s="205">
        <f t="shared" si="36"/>
        <v>0.32416666666666666</v>
      </c>
      <c r="AD163" s="205">
        <f t="shared" si="37"/>
        <v>0.39666666666666667</v>
      </c>
      <c r="AE163" s="202">
        <f>G163</f>
        <v>0.46166666666666667</v>
      </c>
      <c r="AF163" s="15">
        <f t="shared" si="32"/>
        <v>5.2499999999999998E-2</v>
      </c>
      <c r="AG163" s="15">
        <f t="shared" si="33"/>
        <v>0.13833333333333334</v>
      </c>
      <c r="AH163" s="15">
        <f>M163</f>
        <v>0.19416666666666668</v>
      </c>
      <c r="AI163" s="200">
        <f t="shared" si="38"/>
        <v>0.20029166666666667</v>
      </c>
      <c r="AK163" s="37">
        <f>AA163-AI163</f>
        <v>1.3117691383531804</v>
      </c>
      <c r="AM163" s="106">
        <f>($G$14*AA163)-($G$15*AI163)</f>
        <v>197.48259647000239</v>
      </c>
    </row>
    <row r="164" spans="1:39" x14ac:dyDescent="0.2">
      <c r="A164" s="24">
        <v>45961</v>
      </c>
      <c r="B164" s="4"/>
      <c r="C164" s="25">
        <v>0.330683333333333</v>
      </c>
      <c r="D164" s="4"/>
      <c r="E164" s="15">
        <v>0.30583333333333335</v>
      </c>
      <c r="F164" s="4">
        <v>0.37333333333333335</v>
      </c>
      <c r="G164" s="4">
        <v>0.43416666666666665</v>
      </c>
      <c r="H164" s="15">
        <v>2.0422103598111585</v>
      </c>
      <c r="I164" s="15">
        <v>0.5563803952541968</v>
      </c>
      <c r="J164" s="4">
        <f t="shared" si="34"/>
        <v>0.22267250030685304</v>
      </c>
      <c r="K164" s="15">
        <v>5.4166666666666669E-2</v>
      </c>
      <c r="L164" s="4">
        <v>0.13</v>
      </c>
      <c r="M164" s="16">
        <v>0.17333333333333334</v>
      </c>
      <c r="N164" s="4"/>
      <c r="O164" s="22">
        <v>4.1977785269999996</v>
      </c>
      <c r="P164" s="22">
        <v>4.9051827670000003</v>
      </c>
      <c r="Q164" s="22">
        <v>-0.62381340699999999</v>
      </c>
      <c r="R164" s="16">
        <f t="shared" si="39"/>
        <v>-1.0397856510784944</v>
      </c>
      <c r="S164" s="4"/>
      <c r="T164" s="22">
        <v>2.9549023239999999</v>
      </c>
      <c r="U164" s="4">
        <f t="shared" si="40"/>
        <v>2.6365950500410142</v>
      </c>
      <c r="V164" s="22">
        <v>0.67832634199999997</v>
      </c>
      <c r="W164" s="4">
        <f t="shared" si="41"/>
        <v>0.88613659641103149</v>
      </c>
      <c r="X164" s="4">
        <v>0.34083333333333332</v>
      </c>
      <c r="Y164" s="4">
        <f t="shared" si="31"/>
        <v>-1.0150000000000325E-2</v>
      </c>
      <c r="Z164" s="4">
        <f t="shared" si="27"/>
        <v>0.87598659641103116</v>
      </c>
      <c r="AA164" s="37">
        <f t="shared" si="35"/>
        <v>2.6303236664701828</v>
      </c>
      <c r="AB164" s="35"/>
      <c r="AC164" s="205">
        <f t="shared" si="36"/>
        <v>0.30583333333333335</v>
      </c>
      <c r="AD164" s="205">
        <f t="shared" si="37"/>
        <v>0.37333333333333335</v>
      </c>
      <c r="AE164" s="202">
        <f>G164</f>
        <v>0.43416666666666665</v>
      </c>
      <c r="AF164" s="15">
        <f t="shared" si="32"/>
        <v>5.4166666666666669E-2</v>
      </c>
      <c r="AG164" s="15">
        <f t="shared" si="33"/>
        <v>0.13</v>
      </c>
      <c r="AH164" s="15">
        <f>M164</f>
        <v>0.17333333333333334</v>
      </c>
      <c r="AI164" s="200">
        <f t="shared" si="38"/>
        <v>0.18706944444444445</v>
      </c>
      <c r="AK164" s="37">
        <f>AA164-AI164</f>
        <v>2.4432542220257383</v>
      </c>
      <c r="AM164" s="106">
        <f>($G$14*AA164)-($G$15*AI164)</f>
        <v>367.85871124045309</v>
      </c>
    </row>
    <row r="165" spans="1:39" x14ac:dyDescent="0.2">
      <c r="A165" s="24">
        <v>45991</v>
      </c>
      <c r="B165" s="4"/>
      <c r="C165" s="25">
        <v>0.33077499999999999</v>
      </c>
      <c r="D165" s="4"/>
      <c r="E165" s="15">
        <v>0.30583333333333335</v>
      </c>
      <c r="F165" s="4">
        <v>0.3775</v>
      </c>
      <c r="G165" s="4">
        <v>0.43583333333333335</v>
      </c>
      <c r="H165" s="15">
        <v>6.8418210573617522E-2</v>
      </c>
      <c r="I165" s="15">
        <v>4.9831664423849453E-2</v>
      </c>
      <c r="J165" s="4">
        <f t="shared" si="34"/>
        <v>-0.70999143182167157</v>
      </c>
      <c r="K165" s="15">
        <v>4.6666666666666669E-2</v>
      </c>
      <c r="L165" s="4">
        <v>0.12916666666666668</v>
      </c>
      <c r="M165" s="16">
        <v>0.17583333333333331</v>
      </c>
      <c r="N165" s="4"/>
      <c r="O165" s="22">
        <v>0.35312036800000002</v>
      </c>
      <c r="P165" s="22">
        <v>-0.52425614200000004</v>
      </c>
      <c r="Q165" s="22">
        <v>-1.844468867</v>
      </c>
      <c r="R165" s="16">
        <f t="shared" si="39"/>
        <v>-1.6835322238156989</v>
      </c>
      <c r="S165" s="4"/>
      <c r="T165" s="22">
        <v>1.7318670350000001</v>
      </c>
      <c r="U165" s="4">
        <f t="shared" si="40"/>
        <v>1.9128126380082029</v>
      </c>
      <c r="V165" s="22">
        <v>-6.9872582000000003E-2</v>
      </c>
      <c r="W165" s="4">
        <f t="shared" si="41"/>
        <v>0.1213292536822063</v>
      </c>
      <c r="X165" s="4">
        <v>0.32333333333333331</v>
      </c>
      <c r="Y165" s="4">
        <f t="shared" si="31"/>
        <v>7.4416666666666798E-3</v>
      </c>
      <c r="Z165" s="4">
        <f t="shared" si="27"/>
        <v>0.128770920348873</v>
      </c>
      <c r="AA165" s="37">
        <f t="shared" si="35"/>
        <v>6.4450144874432388E-2</v>
      </c>
      <c r="AB165" s="35"/>
      <c r="AC165" s="205">
        <f t="shared" si="36"/>
        <v>0.30583333333333335</v>
      </c>
      <c r="AD165" s="205">
        <f t="shared" si="37"/>
        <v>0.3775</v>
      </c>
      <c r="AE165" s="202">
        <f>G165</f>
        <v>0.43583333333333335</v>
      </c>
      <c r="AF165" s="15">
        <f t="shared" si="32"/>
        <v>4.6666666666666669E-2</v>
      </c>
      <c r="AG165" s="15">
        <f t="shared" si="33"/>
        <v>0.12916666666666668</v>
      </c>
      <c r="AH165" s="15">
        <f>M165</f>
        <v>0.17583333333333331</v>
      </c>
      <c r="AI165" s="200">
        <f t="shared" si="38"/>
        <v>0.1865</v>
      </c>
      <c r="AK165" s="37">
        <f>AA165-AI165</f>
        <v>-0.12204985512556761</v>
      </c>
      <c r="AM165" s="106">
        <f>($G$14*AA165)-($G$15*AI165)</f>
        <v>-18.41248207231223</v>
      </c>
    </row>
    <row r="166" spans="1:39" ht="16" thickBot="1" x14ac:dyDescent="0.25">
      <c r="A166" s="24">
        <v>46022</v>
      </c>
      <c r="B166" s="4"/>
      <c r="C166" s="26">
        <v>0.32324166666666698</v>
      </c>
      <c r="D166" s="4"/>
      <c r="E166" s="17">
        <v>0.30916666666666665</v>
      </c>
      <c r="F166" s="18">
        <v>0.38083333333333336</v>
      </c>
      <c r="G166" s="18">
        <v>0.4366666666666667</v>
      </c>
      <c r="H166" s="17">
        <v>0.56315073726525</v>
      </c>
      <c r="I166" s="17">
        <v>0.60872698848181139</v>
      </c>
      <c r="J166" s="18">
        <f t="shared" si="34"/>
        <v>1.4470699745687543</v>
      </c>
      <c r="K166" s="17">
        <v>5.9166666666666666E-2</v>
      </c>
      <c r="L166" s="18">
        <v>0.13500000000000001</v>
      </c>
      <c r="M166" s="19">
        <v>0.17333333333333334</v>
      </c>
      <c r="N166" s="4"/>
      <c r="O166" s="23">
        <v>2.4315099060000001</v>
      </c>
      <c r="P166" s="23">
        <v>-0.16938546400000001</v>
      </c>
      <c r="Q166" s="23">
        <v>1.9721485190000001</v>
      </c>
      <c r="R166" s="16">
        <f t="shared" si="39"/>
        <v>1.2410123704368603</v>
      </c>
      <c r="S166" s="4"/>
      <c r="T166" s="23">
        <v>0.79145858199999997</v>
      </c>
      <c r="U166" s="4">
        <f t="shared" si="40"/>
        <v>1.0157293932016407</v>
      </c>
      <c r="V166" s="23">
        <v>0.54542979400000002</v>
      </c>
      <c r="W166" s="4">
        <f t="shared" si="41"/>
        <v>0.4606096859364413</v>
      </c>
      <c r="X166" s="18">
        <v>0.31</v>
      </c>
      <c r="Y166" s="18">
        <f t="shared" si="31"/>
        <v>1.3241666666666985E-2</v>
      </c>
      <c r="Z166" s="18">
        <f>W166+Y166</f>
        <v>0.47385135260310829</v>
      </c>
      <c r="AA166" s="38">
        <f t="shared" si="35"/>
        <v>0.64991632276644051</v>
      </c>
      <c r="AB166" s="35"/>
      <c r="AC166" s="206">
        <f t="shared" si="36"/>
        <v>0.30916666666666665</v>
      </c>
      <c r="AD166" s="206">
        <f t="shared" si="37"/>
        <v>0.38083333333333336</v>
      </c>
      <c r="AE166" s="18">
        <f>G166</f>
        <v>0.4366666666666667</v>
      </c>
      <c r="AF166" s="17">
        <f t="shared" si="32"/>
        <v>5.9166666666666666E-2</v>
      </c>
      <c r="AG166" s="17">
        <f t="shared" si="33"/>
        <v>0.13500000000000001</v>
      </c>
      <c r="AH166" s="17">
        <f>M166</f>
        <v>0.17333333333333334</v>
      </c>
      <c r="AI166" s="201">
        <f t="shared" si="38"/>
        <v>0.19075</v>
      </c>
      <c r="AK166" s="38">
        <f>AA166-AI166</f>
        <v>0.45916632276644054</v>
      </c>
      <c r="AM166" s="107">
        <f>($G$14*AA166)-($G$15*AI166)</f>
        <v>69.103495584467922</v>
      </c>
    </row>
    <row r="167" spans="1:39" x14ac:dyDescent="0.2">
      <c r="A167" s="2"/>
      <c r="B167" s="4"/>
      <c r="C167" s="5"/>
      <c r="D167" s="4"/>
      <c r="E167" s="4"/>
      <c r="F167" s="4"/>
      <c r="G167" s="4"/>
      <c r="K167" s="4"/>
      <c r="L167" s="6"/>
      <c r="M167" s="4"/>
      <c r="N167" s="4"/>
      <c r="Q167" s="7"/>
      <c r="S167" s="4"/>
      <c r="U167" s="4"/>
    </row>
    <row r="168" spans="1:39" x14ac:dyDescent="0.2">
      <c r="A168" s="2"/>
      <c r="B168" s="4"/>
      <c r="C168" s="5"/>
      <c r="D168" s="4"/>
      <c r="E168" s="4"/>
      <c r="F168" s="4"/>
      <c r="G168" s="4"/>
      <c r="K168" s="4"/>
      <c r="L168" s="6"/>
      <c r="M168" s="4"/>
      <c r="N168" s="4"/>
      <c r="S168" s="4"/>
      <c r="U168" s="4"/>
    </row>
    <row r="169" spans="1:39" x14ac:dyDescent="0.2">
      <c r="A169" s="2"/>
      <c r="B169" s="4"/>
      <c r="C169" s="5"/>
      <c r="D169" s="4"/>
      <c r="E169" s="4"/>
      <c r="F169" s="4"/>
      <c r="G169" s="4"/>
      <c r="K169" s="4"/>
      <c r="L169" s="6"/>
      <c r="M169" s="4"/>
      <c r="N169" s="4"/>
      <c r="S169" s="4"/>
      <c r="U169" s="4"/>
    </row>
  </sheetData>
  <autoFilter ref="A22:Z166" xr:uid="{00000000-0001-0000-0000-000000000000}"/>
  <mergeCells count="24">
    <mergeCell ref="AC19:AH19"/>
    <mergeCell ref="V21:Z21"/>
    <mergeCell ref="V20:Z20"/>
    <mergeCell ref="E19:M19"/>
    <mergeCell ref="O19:R19"/>
    <mergeCell ref="T19:Z19"/>
    <mergeCell ref="Q21:R21"/>
    <mergeCell ref="I21:J21"/>
    <mergeCell ref="I20:J20"/>
    <mergeCell ref="Q20:R20"/>
    <mergeCell ref="T20:U20"/>
    <mergeCell ref="T21:U21"/>
    <mergeCell ref="C2:K2"/>
    <mergeCell ref="C13:D13"/>
    <mergeCell ref="F13:K13"/>
    <mergeCell ref="C3:K3"/>
    <mergeCell ref="C4:K4"/>
    <mergeCell ref="C5:K5"/>
    <mergeCell ref="C6:K6"/>
    <mergeCell ref="C7:K7"/>
    <mergeCell ref="C8:K8"/>
    <mergeCell ref="C9:K9"/>
    <mergeCell ref="C10:K10"/>
    <mergeCell ref="C11:K11"/>
  </mergeCells>
  <dataValidations count="1">
    <dataValidation type="decimal" errorStyle="warning" operator="equal" showErrorMessage="1" errorTitle="Asset Allocation" error="Weights must sum to 1." sqref="AA21" xr:uid="{84ADAF65-2A68-4548-A233-18DBF32AD48C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2E4B-3648-4EC2-97F3-9EB3DBC46319}">
  <sheetPr codeName="Sheet2"/>
  <dimension ref="A1:P1001"/>
  <sheetViews>
    <sheetView workbookViewId="0">
      <pane xSplit="1" ySplit="1" topLeftCell="B988" activePane="bottomRight" state="frozen"/>
      <selection pane="topRight"/>
      <selection pane="bottomLeft"/>
      <selection pane="bottomRight" activeCell="O1001" sqref="O1001:P1001"/>
    </sheetView>
  </sheetViews>
  <sheetFormatPr baseColWidth="10" defaultColWidth="8.83203125" defaultRowHeight="15" x14ac:dyDescent="0.2"/>
  <cols>
    <col min="1" max="1" width="12.6640625" bestFit="1" customWidth="1"/>
    <col min="2" max="2" width="9.33203125" style="31" customWidth="1"/>
    <col min="3" max="6" width="12.33203125" style="4" customWidth="1"/>
    <col min="7" max="12" width="14.6640625" customWidth="1"/>
  </cols>
  <sheetData>
    <row r="1" spans="1:16" ht="49" thickBot="1" x14ac:dyDescent="0.25">
      <c r="A1" s="55" t="s">
        <v>72</v>
      </c>
      <c r="B1" s="54" t="s">
        <v>46</v>
      </c>
      <c r="C1" s="73" t="s">
        <v>68</v>
      </c>
      <c r="D1" s="52" t="s">
        <v>73</v>
      </c>
      <c r="E1" s="53" t="s">
        <v>74</v>
      </c>
      <c r="F1" s="51" t="s">
        <v>75</v>
      </c>
      <c r="G1" s="76" t="s">
        <v>69</v>
      </c>
      <c r="H1" s="52" t="s">
        <v>73</v>
      </c>
      <c r="I1" s="53" t="s">
        <v>74</v>
      </c>
      <c r="J1" s="51" t="s">
        <v>76</v>
      </c>
      <c r="K1" s="51" t="s">
        <v>77</v>
      </c>
      <c r="L1" s="57" t="s">
        <v>132</v>
      </c>
      <c r="N1" s="65" t="s">
        <v>78</v>
      </c>
      <c r="O1" s="59" t="s">
        <v>79</v>
      </c>
      <c r="P1" s="66" t="s">
        <v>80</v>
      </c>
    </row>
    <row r="2" spans="1:16" x14ac:dyDescent="0.2">
      <c r="A2" s="39">
        <f ca="1">RANDBETWEEN(ROW('Asset Class Returns &amp; Weights'!$A$23),ROW('Asset Class Returns &amp; Weights'!$A$166))</f>
        <v>51</v>
      </c>
      <c r="B2" s="56" cm="1">
        <f t="array" aca="1" ref="B2" ca="1">INDIRECT("'Asset Class Returns &amp; Weights'!A"&amp;$A2)</f>
        <v>42308</v>
      </c>
      <c r="C2" s="74" cm="1">
        <f t="array" aca="1" ref="C2" ca="1">INDIRECT("'Asset Class Returns &amp; Weights'!AA"&amp;$A2)</f>
        <v>2.683391280512204</v>
      </c>
      <c r="D2" s="4">
        <f ca="1">1+(C2/100)</f>
        <v>1.026833912805122</v>
      </c>
      <c r="E2" s="4">
        <f ca="1">D2</f>
        <v>1.026833912805122</v>
      </c>
      <c r="F2" s="60">
        <f ca="1">'Asset Class Returns &amp; Weights'!$G$14*'(Bootstrap Simulation)'!E2</f>
        <v>154.61577185195284</v>
      </c>
      <c r="G2" s="74" cm="1">
        <f t="array" aca="1" ref="G2" ca="1">INDIRECT("'Asset Class Returns &amp; Weights'!AI"&amp;$A2)</f>
        <v>-1.9833333333333345E-2</v>
      </c>
      <c r="H2" s="4">
        <f ca="1">1+(G2/100)</f>
        <v>0.9998016666666667</v>
      </c>
      <c r="I2" s="4">
        <f ca="1">H2</f>
        <v>0.9998016666666667</v>
      </c>
      <c r="J2" s="60">
        <f ca="1">'Asset Class Returns &amp; Weights'!$G$15*'(Bootstrap Simulation)'!I2</f>
        <v>150.73191482690714</v>
      </c>
      <c r="K2" s="63">
        <f ca="1">F2/J2</f>
        <v>1.025766653528589</v>
      </c>
      <c r="L2" s="58">
        <f ca="1">F2-J2</f>
        <v>3.8838570250456996</v>
      </c>
      <c r="N2">
        <f t="shared" ref="N2:N65" si="0">ROW(N2)-1</f>
        <v>1</v>
      </c>
      <c r="O2" s="63">
        <v>1.2493004109445123</v>
      </c>
      <c r="P2" s="62">
        <v>37.769940138021923</v>
      </c>
    </row>
    <row r="3" spans="1:16" x14ac:dyDescent="0.2">
      <c r="A3" s="39">
        <f ca="1">RANDBETWEEN(ROW('Asset Class Returns &amp; Weights'!$A$23),ROW('Asset Class Returns &amp; Weights'!$A$166))</f>
        <v>92</v>
      </c>
      <c r="B3" s="56" cm="1">
        <f t="array" aca="1" ref="B3" ca="1">INDIRECT("'Asset Class Returns &amp; Weights'!A"&amp;$A3)</f>
        <v>43769</v>
      </c>
      <c r="C3" s="74" cm="1">
        <f t="array" aca="1" ref="C3" ca="1">INDIRECT("'Asset Class Returns &amp; Weights'!AA"&amp;$A3)</f>
        <v>-0.83998798555617005</v>
      </c>
      <c r="D3" s="4">
        <f t="shared" ref="D3:D66" ca="1" si="1">1+(C3/100)</f>
        <v>0.99160012014443832</v>
      </c>
      <c r="E3" s="4">
        <f ca="1">E2*D3</f>
        <v>1.0182086313059426</v>
      </c>
      <c r="F3" s="60">
        <f ca="1">'Asset Class Returns &amp; Weights'!$G$14*'(Bootstrap Simulation)'!E3</f>
        <v>153.31701794462151</v>
      </c>
      <c r="G3" s="74" cm="1">
        <f t="array" aca="1" ref="G3" ca="1">INDIRECT("'Asset Class Returns &amp; Weights'!AI"&amp;$A3)</f>
        <v>-0.136625</v>
      </c>
      <c r="H3" s="4">
        <f t="shared" ref="H3:H66" ca="1" si="2">1+(G3/100)</f>
        <v>0.99863374999999999</v>
      </c>
      <c r="I3" s="4">
        <f ca="1">I2*H3</f>
        <v>0.99843568763958335</v>
      </c>
      <c r="J3" s="60">
        <f ca="1">'Asset Class Returns &amp; Weights'!$G$15*'(Bootstrap Simulation)'!I3</f>
        <v>150.52597734827489</v>
      </c>
      <c r="K3" s="63">
        <f t="shared" ref="K3:K66" ca="1" si="3">F3/J3</f>
        <v>1.0185419197770025</v>
      </c>
      <c r="L3" s="58">
        <f t="shared" ref="L3:L66" ca="1" si="4">F3-J3</f>
        <v>2.7910405963466189</v>
      </c>
      <c r="N3">
        <f t="shared" si="0"/>
        <v>2</v>
      </c>
      <c r="O3" s="63">
        <v>2.9096354068481411</v>
      </c>
      <c r="P3" s="62">
        <v>277.7168567950614</v>
      </c>
    </row>
    <row r="4" spans="1:16" x14ac:dyDescent="0.2">
      <c r="A4" s="39">
        <f ca="1">RANDBETWEEN(ROW('Asset Class Returns &amp; Weights'!$A$23),ROW('Asset Class Returns &amp; Weights'!$A$166))</f>
        <v>126</v>
      </c>
      <c r="B4" s="56" cm="1">
        <f t="array" aca="1" ref="B4" ca="1">INDIRECT("'Asset Class Returns &amp; Weights'!A"&amp;$A4)</f>
        <v>44804</v>
      </c>
      <c r="C4" s="74" cm="1">
        <f t="array" aca="1" ref="C4" ca="1">INDIRECT("'Asset Class Returns &amp; Weights'!AA"&amp;$A4)</f>
        <v>-1.8267949190726551</v>
      </c>
      <c r="D4" s="4">
        <f t="shared" ca="1" si="1"/>
        <v>0.9817320508092735</v>
      </c>
      <c r="E4" s="4">
        <f t="shared" ref="E4:E67" ca="1" si="5">E3*D4</f>
        <v>0.9996080477636865</v>
      </c>
      <c r="F4" s="60">
        <f ca="1">'Asset Class Returns &amp; Weights'!$G$14*'(Bootstrap Simulation)'!E4</f>
        <v>150.51623045073546</v>
      </c>
      <c r="G4" s="74" cm="1">
        <f t="array" aca="1" ref="G4" ca="1">INDIRECT("'Asset Class Returns &amp; Weights'!AI"&amp;$A4)</f>
        <v>-1.415277777777779E-2</v>
      </c>
      <c r="H4" s="4">
        <f t="shared" ca="1" si="2"/>
        <v>0.99985847222222224</v>
      </c>
      <c r="I4" s="4">
        <f t="shared" ref="I4:I67" ca="1" si="6">I3*H4</f>
        <v>0.99829438125545766</v>
      </c>
      <c r="J4" s="60">
        <f ca="1">'Asset Class Returns &amp; Weights'!$G$15*'(Bootstrap Simulation)'!I4</f>
        <v>150.50467374120294</v>
      </c>
      <c r="K4" s="63">
        <f t="shared" ca="1" si="3"/>
        <v>1.0000767863830753</v>
      </c>
      <c r="L4" s="58">
        <f t="shared" ca="1" si="4"/>
        <v>1.155670953252752E-2</v>
      </c>
      <c r="N4">
        <f t="shared" si="0"/>
        <v>3</v>
      </c>
      <c r="O4" s="63">
        <v>1.9933041909854818</v>
      </c>
      <c r="P4" s="62">
        <v>143.15104298202783</v>
      </c>
    </row>
    <row r="5" spans="1:16" x14ac:dyDescent="0.2">
      <c r="A5" s="39">
        <f ca="1">RANDBETWEEN(ROW('Asset Class Returns &amp; Weights'!$A$23),ROW('Asset Class Returns &amp; Weights'!$A$166))</f>
        <v>92</v>
      </c>
      <c r="B5" s="56" cm="1">
        <f t="array" aca="1" ref="B5" ca="1">INDIRECT("'Asset Class Returns &amp; Weights'!A"&amp;$A5)</f>
        <v>43769</v>
      </c>
      <c r="C5" s="74" cm="1">
        <f t="array" aca="1" ref="C5" ca="1">INDIRECT("'Asset Class Returns &amp; Weights'!AA"&amp;$A5)</f>
        <v>-0.83998798555617005</v>
      </c>
      <c r="D5" s="4">
        <f t="shared" ca="1" si="1"/>
        <v>0.99160012014443832</v>
      </c>
      <c r="E5" s="4">
        <f t="shared" ca="1" si="5"/>
        <v>0.99121146025981899</v>
      </c>
      <c r="F5" s="60">
        <f ca="1">'Asset Class Returns &amp; Weights'!$G$14*'(Bootstrap Simulation)'!E5</f>
        <v>149.25191219863723</v>
      </c>
      <c r="G5" s="74" cm="1">
        <f t="array" aca="1" ref="G5" ca="1">INDIRECT("'Asset Class Returns &amp; Weights'!AI"&amp;$A5)</f>
        <v>-0.136625</v>
      </c>
      <c r="H5" s="4">
        <f t="shared" ca="1" si="2"/>
        <v>0.99863374999999999</v>
      </c>
      <c r="I5" s="4">
        <f t="shared" ca="1" si="6"/>
        <v>0.99693046155706733</v>
      </c>
      <c r="J5" s="60">
        <f ca="1">'Asset Class Returns &amp; Weights'!$G$15*'(Bootstrap Simulation)'!I5</f>
        <v>150.29904673070402</v>
      </c>
      <c r="K5" s="63">
        <f t="shared" ca="1" si="3"/>
        <v>0.99303299285761282</v>
      </c>
      <c r="L5" s="58">
        <f t="shared" ca="1" si="4"/>
        <v>-1.0471345320667922</v>
      </c>
      <c r="N5">
        <f t="shared" si="0"/>
        <v>4</v>
      </c>
      <c r="O5" s="63">
        <v>1.7041554702771302</v>
      </c>
      <c r="P5" s="62">
        <v>105.19193311380661</v>
      </c>
    </row>
    <row r="6" spans="1:16" x14ac:dyDescent="0.2">
      <c r="A6" s="39">
        <f ca="1">RANDBETWEEN(ROW('Asset Class Returns &amp; Weights'!$A$23),ROW('Asset Class Returns &amp; Weights'!$A$166))</f>
        <v>56</v>
      </c>
      <c r="B6" s="56" cm="1">
        <f t="array" aca="1" ref="B6" ca="1">INDIRECT("'Asset Class Returns &amp; Weights'!A"&amp;$A6)</f>
        <v>42460</v>
      </c>
      <c r="C6" s="74" cm="1">
        <f t="array" aca="1" ref="C6" ca="1">INDIRECT("'Asset Class Returns &amp; Weights'!AA"&amp;$A6)</f>
        <v>2.1127325139720563</v>
      </c>
      <c r="D6" s="4">
        <f t="shared" ca="1" si="1"/>
        <v>1.0211273251397206</v>
      </c>
      <c r="E6" s="4">
        <f t="shared" ca="1" si="5"/>
        <v>1.0121531070629455</v>
      </c>
      <c r="F6" s="60">
        <f ca="1">'Asset Class Returns &amp; Weights'!$G$14*'(Bootstrap Simulation)'!E6</f>
        <v>152.40520587538288</v>
      </c>
      <c r="G6" s="74" cm="1">
        <f t="array" aca="1" ref="G6" ca="1">INDIRECT("'Asset Class Returns &amp; Weights'!AI"&amp;$A6)</f>
        <v>-4.6638888888888896E-2</v>
      </c>
      <c r="H6" s="4">
        <f t="shared" ca="1" si="2"/>
        <v>0.99953361111111116</v>
      </c>
      <c r="I6" s="4">
        <f t="shared" ca="1" si="6"/>
        <v>0.99646550426680225</v>
      </c>
      <c r="J6" s="60">
        <f ca="1">'Asset Class Returns &amp; Weights'!$G$15*'(Bootstrap Simulation)'!I6</f>
        <v>150.22894892529823</v>
      </c>
      <c r="K6" s="63">
        <f t="shared" ca="1" si="3"/>
        <v>1.0144862688959291</v>
      </c>
      <c r="L6" s="58">
        <f t="shared" ca="1" si="4"/>
        <v>2.1762569500846496</v>
      </c>
      <c r="N6">
        <f t="shared" si="0"/>
        <v>5</v>
      </c>
      <c r="O6" s="63">
        <v>1.8237660829740379</v>
      </c>
      <c r="P6" s="62">
        <v>121.29487768797162</v>
      </c>
    </row>
    <row r="7" spans="1:16" x14ac:dyDescent="0.2">
      <c r="A7" s="39">
        <f ca="1">RANDBETWEEN(ROW('Asset Class Returns &amp; Weights'!$A$23),ROW('Asset Class Returns &amp; Weights'!$A$166))</f>
        <v>42</v>
      </c>
      <c r="B7" s="56" cm="1">
        <f t="array" aca="1" ref="B7" ca="1">INDIRECT("'Asset Class Returns &amp; Weights'!A"&amp;$A7)</f>
        <v>42035</v>
      </c>
      <c r="C7" s="74" cm="1">
        <f t="array" aca="1" ref="C7" ca="1">INDIRECT("'Asset Class Returns &amp; Weights'!AA"&amp;$A7)</f>
        <v>2.4047017706743326</v>
      </c>
      <c r="D7" s="4">
        <f t="shared" ca="1" si="1"/>
        <v>1.0240470177067433</v>
      </c>
      <c r="E7" s="4">
        <f t="shared" ca="1" si="5"/>
        <v>1.0364923707504234</v>
      </c>
      <c r="F7" s="60">
        <f ca="1">'Asset Class Returns &amp; Weights'!$G$14*'(Bootstrap Simulation)'!E7</f>
        <v>156.07009655966809</v>
      </c>
      <c r="G7" s="74" cm="1">
        <f t="array" aca="1" ref="G7" ca="1">INDIRECT("'Asset Class Returns &amp; Weights'!AI"&amp;$A7)</f>
        <v>-4.300000000000001E-2</v>
      </c>
      <c r="H7" s="4">
        <f t="shared" ca="1" si="2"/>
        <v>0.99956999999999996</v>
      </c>
      <c r="I7" s="4">
        <f t="shared" ca="1" si="6"/>
        <v>0.99603702409996753</v>
      </c>
      <c r="J7" s="60">
        <f ca="1">'Asset Class Returns &amp; Weights'!$G$15*'(Bootstrap Simulation)'!I7</f>
        <v>150.16435047726034</v>
      </c>
      <c r="K7" s="63">
        <f t="shared" ca="1" si="3"/>
        <v>1.0393285494435782</v>
      </c>
      <c r="L7" s="58">
        <f t="shared" ca="1" si="4"/>
        <v>5.9057460824077452</v>
      </c>
      <c r="N7">
        <f t="shared" si="0"/>
        <v>6</v>
      </c>
      <c r="O7" s="63">
        <v>1.8341699654697228</v>
      </c>
      <c r="P7" s="62">
        <v>124.03198771965575</v>
      </c>
    </row>
    <row r="8" spans="1:16" x14ac:dyDescent="0.2">
      <c r="A8" s="39">
        <f ca="1">RANDBETWEEN(ROW('Asset Class Returns &amp; Weights'!$A$23),ROW('Asset Class Returns &amp; Weights'!$A$166))</f>
        <v>31</v>
      </c>
      <c r="B8" s="56" cm="1">
        <f t="array" aca="1" ref="B8" ca="1">INDIRECT("'Asset Class Returns &amp; Weights'!A"&amp;$A8)</f>
        <v>41698</v>
      </c>
      <c r="C8" s="74" cm="1">
        <f t="array" aca="1" ref="C8" ca="1">INDIRECT("'Asset Class Returns &amp; Weights'!AA"&amp;$A8)</f>
        <v>2.1320616401803507</v>
      </c>
      <c r="D8" s="4">
        <f t="shared" ca="1" si="1"/>
        <v>1.0213206164018036</v>
      </c>
      <c r="E8" s="4">
        <f t="shared" ca="1" si="5"/>
        <v>1.0585910269905892</v>
      </c>
      <c r="F8" s="60">
        <f ca="1">'Asset Class Returns &amp; Weights'!$G$14*'(Bootstrap Simulation)'!E8</f>
        <v>159.39760722020921</v>
      </c>
      <c r="G8" s="74" cm="1">
        <f t="array" aca="1" ref="G8" ca="1">INDIRECT("'Asset Class Returns &amp; Weights'!AI"&amp;$A8)</f>
        <v>2.013888888888888E-2</v>
      </c>
      <c r="H8" s="4">
        <f t="shared" ca="1" si="2"/>
        <v>1.000201388888889</v>
      </c>
      <c r="I8" s="4">
        <f t="shared" ca="1" si="6"/>
        <v>0.99623761488954332</v>
      </c>
      <c r="J8" s="60">
        <f ca="1">'Asset Class Returns &amp; Weights'!$G$15*'(Bootstrap Simulation)'!I8</f>
        <v>150.1945919089537</v>
      </c>
      <c r="K8" s="63">
        <f t="shared" ca="1" si="3"/>
        <v>1.0612739459809197</v>
      </c>
      <c r="L8" s="58">
        <f t="shared" ca="1" si="4"/>
        <v>9.2030153112555126</v>
      </c>
      <c r="N8">
        <f t="shared" si="0"/>
        <v>7</v>
      </c>
      <c r="O8" s="63">
        <v>1.3445403964772709</v>
      </c>
      <c r="P8" s="62">
        <v>50.548357817164714</v>
      </c>
    </row>
    <row r="9" spans="1:16" x14ac:dyDescent="0.2">
      <c r="A9" s="39">
        <f ca="1">RANDBETWEEN(ROW('Asset Class Returns &amp; Weights'!$A$23),ROW('Asset Class Returns &amp; Weights'!$A$166))</f>
        <v>129</v>
      </c>
      <c r="B9" s="56" cm="1">
        <f t="array" aca="1" ref="B9" ca="1">INDIRECT("'Asset Class Returns &amp; Weights'!A"&amp;$A9)</f>
        <v>44895</v>
      </c>
      <c r="C9" s="74" cm="1">
        <f t="array" aca="1" ref="C9" ca="1">INDIRECT("'Asset Class Returns &amp; Weights'!AA"&amp;$A9)</f>
        <v>2.5198681337412903</v>
      </c>
      <c r="D9" s="4">
        <f t="shared" ca="1" si="1"/>
        <v>1.025198681337413</v>
      </c>
      <c r="E9" s="4">
        <f t="shared" ca="1" si="5"/>
        <v>1.0852661249463698</v>
      </c>
      <c r="F9" s="60">
        <f ca="1">'Asset Class Returns &amp; Weights'!$G$14*'(Bootstrap Simulation)'!E9</f>
        <v>163.41421673049737</v>
      </c>
      <c r="G9" s="74" cm="1">
        <f t="array" aca="1" ref="G9" ca="1">INDIRECT("'Asset Class Returns &amp; Weights'!AI"&amp;$A9)</f>
        <v>5.4416666666666676E-2</v>
      </c>
      <c r="H9" s="4">
        <f t="shared" ca="1" si="2"/>
        <v>1.0005441666666666</v>
      </c>
      <c r="I9" s="4">
        <f t="shared" ca="1" si="6"/>
        <v>0.99677973419164556</v>
      </c>
      <c r="J9" s="60">
        <f ca="1">'Asset Class Returns &amp; Weights'!$G$15*'(Bootstrap Simulation)'!I9</f>
        <v>150.27632279938413</v>
      </c>
      <c r="K9" s="63">
        <f t="shared" ca="1" si="3"/>
        <v>1.0874249095691013</v>
      </c>
      <c r="L9" s="58">
        <f t="shared" ca="1" si="4"/>
        <v>13.13789393111324</v>
      </c>
      <c r="N9">
        <f t="shared" si="0"/>
        <v>8</v>
      </c>
      <c r="O9" s="63">
        <v>2.1088504658794478</v>
      </c>
      <c r="P9" s="62">
        <v>165.62957140159904</v>
      </c>
    </row>
    <row r="10" spans="1:16" x14ac:dyDescent="0.2">
      <c r="A10" s="39">
        <f ca="1">RANDBETWEEN(ROW('Asset Class Returns &amp; Weights'!$A$23),ROW('Asset Class Returns &amp; Weights'!$A$166))</f>
        <v>148</v>
      </c>
      <c r="B10" s="56" cm="1">
        <f t="array" aca="1" ref="B10" ca="1">INDIRECT("'Asset Class Returns &amp; Weights'!A"&amp;$A10)</f>
        <v>45473</v>
      </c>
      <c r="C10" s="74" cm="1">
        <f t="array" aca="1" ref="C10" ca="1">INDIRECT("'Asset Class Returns &amp; Weights'!AA"&amp;$A10)</f>
        <v>1.1607317321410837</v>
      </c>
      <c r="D10" s="4">
        <f t="shared" ca="1" si="1"/>
        <v>1.0116073173214108</v>
      </c>
      <c r="E10" s="4">
        <f t="shared" ca="1" si="5"/>
        <v>1.0978631532368002</v>
      </c>
      <c r="F10" s="60">
        <f ca="1">'Asset Class Returns &amp; Weights'!$G$14*'(Bootstrap Simulation)'!E10</f>
        <v>165.31101739891807</v>
      </c>
      <c r="G10" s="74" cm="1">
        <f t="array" aca="1" ref="G10" ca="1">INDIRECT("'Asset Class Returns &amp; Weights'!AI"&amp;$A10)</f>
        <v>0.13587500000000002</v>
      </c>
      <c r="H10" s="4">
        <f t="shared" ca="1" si="2"/>
        <v>1.0013587500000001</v>
      </c>
      <c r="I10" s="4">
        <f t="shared" ca="1" si="6"/>
        <v>0.99813410865547858</v>
      </c>
      <c r="J10" s="60">
        <f ca="1">'Asset Class Returns &amp; Weights'!$G$15*'(Bootstrap Simulation)'!I10</f>
        <v>150.48051075298781</v>
      </c>
      <c r="K10" s="63">
        <f t="shared" ca="1" si="3"/>
        <v>1.0985543348551918</v>
      </c>
      <c r="L10" s="58">
        <f t="shared" ca="1" si="4"/>
        <v>14.830506645930257</v>
      </c>
      <c r="N10">
        <f t="shared" si="0"/>
        <v>9</v>
      </c>
      <c r="O10" s="63">
        <v>1.6226223467790915</v>
      </c>
      <c r="P10" s="62">
        <v>92.410911587655363</v>
      </c>
    </row>
    <row r="11" spans="1:16" x14ac:dyDescent="0.2">
      <c r="A11" s="39">
        <f ca="1">RANDBETWEEN(ROW('Asset Class Returns &amp; Weights'!$A$23),ROW('Asset Class Returns &amp; Weights'!$A$166))</f>
        <v>101</v>
      </c>
      <c r="B11" s="56" cm="1">
        <f t="array" aca="1" ref="B11" ca="1">INDIRECT("'Asset Class Returns &amp; Weights'!A"&amp;$A11)</f>
        <v>44043</v>
      </c>
      <c r="C11" s="74" cm="1">
        <f t="array" aca="1" ref="C11" ca="1">INDIRECT("'Asset Class Returns &amp; Weights'!AA"&amp;$A11)</f>
        <v>-0.45287219230992509</v>
      </c>
      <c r="D11" s="4">
        <f t="shared" ca="1" si="1"/>
        <v>0.99547127807690072</v>
      </c>
      <c r="E11" s="4">
        <f t="shared" ca="1" si="5"/>
        <v>1.0928912363061738</v>
      </c>
      <c r="F11" s="60">
        <f ca="1">'Asset Class Returns &amp; Weights'!$G$14*'(Bootstrap Simulation)'!E11</f>
        <v>164.56236977029374</v>
      </c>
      <c r="G11" s="74" cm="1">
        <f t="array" aca="1" ref="G11" ca="1">INDIRECT("'Asset Class Returns &amp; Weights'!AI"&amp;$A11)</f>
        <v>-0.176125</v>
      </c>
      <c r="H11" s="4">
        <f t="shared" ca="1" si="2"/>
        <v>0.99823874999999995</v>
      </c>
      <c r="I11" s="4">
        <f t="shared" ca="1" si="6"/>
        <v>0.99637614495660909</v>
      </c>
      <c r="J11" s="60">
        <f ca="1">'Asset Class Returns &amp; Weights'!$G$15*'(Bootstrap Simulation)'!I11</f>
        <v>150.21547695342412</v>
      </c>
      <c r="K11" s="63">
        <f t="shared" ca="1" si="3"/>
        <v>1.0955087525456384</v>
      </c>
      <c r="L11" s="58">
        <f t="shared" ca="1" si="4"/>
        <v>14.346892816869627</v>
      </c>
      <c r="N11">
        <f t="shared" si="0"/>
        <v>10</v>
      </c>
      <c r="O11" s="63">
        <v>1.697951054281422</v>
      </c>
      <c r="P11" s="62">
        <v>101.82123839450966</v>
      </c>
    </row>
    <row r="12" spans="1:16" x14ac:dyDescent="0.2">
      <c r="A12" s="39">
        <f ca="1">RANDBETWEEN(ROW('Asset Class Returns &amp; Weights'!$A$23),ROW('Asset Class Returns &amp; Weights'!$A$166))</f>
        <v>32</v>
      </c>
      <c r="B12" s="56" cm="1">
        <f t="array" aca="1" ref="B12" ca="1">INDIRECT("'Asset Class Returns &amp; Weights'!A"&amp;$A12)</f>
        <v>41729</v>
      </c>
      <c r="C12" s="74" cm="1">
        <f t="array" aca="1" ref="C12" ca="1">INDIRECT("'Asset Class Returns &amp; Weights'!AA"&amp;$A12)</f>
        <v>-0.42414010254649709</v>
      </c>
      <c r="D12" s="4">
        <f t="shared" ca="1" si="1"/>
        <v>0.995758598974535</v>
      </c>
      <c r="E12" s="4">
        <f t="shared" ca="1" si="5"/>
        <v>1.088255846295783</v>
      </c>
      <c r="F12" s="60">
        <f ca="1">'Asset Class Returns &amp; Weights'!$G$14*'(Bootstrap Simulation)'!E12</f>
        <v>163.86439476639706</v>
      </c>
      <c r="G12" s="74" cm="1">
        <f t="array" aca="1" ref="G12" ca="1">INDIRECT("'Asset Class Returns &amp; Weights'!AI"&amp;$A12)</f>
        <v>1.9805555555555548E-2</v>
      </c>
      <c r="H12" s="4">
        <f t="shared" ca="1" si="2"/>
        <v>1.0001980555555556</v>
      </c>
      <c r="I12" s="4">
        <f t="shared" ca="1" si="6"/>
        <v>0.99657348278754088</v>
      </c>
      <c r="J12" s="60">
        <f ca="1">'Asset Class Returns &amp; Weights'!$G$15*'(Bootstrap Simulation)'!I12</f>
        <v>150.24522796316518</v>
      </c>
      <c r="K12" s="63">
        <f t="shared" ca="1" si="3"/>
        <v>1.090646252049821</v>
      </c>
      <c r="L12" s="58">
        <f t="shared" ca="1" si="4"/>
        <v>13.619166803231877</v>
      </c>
      <c r="N12">
        <f t="shared" si="0"/>
        <v>11</v>
      </c>
      <c r="O12" s="63">
        <v>2.2814998491581386</v>
      </c>
      <c r="P12" s="62">
        <v>189.33304852657514</v>
      </c>
    </row>
    <row r="13" spans="1:16" x14ac:dyDescent="0.2">
      <c r="A13" s="39">
        <f ca="1">RANDBETWEEN(ROW('Asset Class Returns &amp; Weights'!$A$23),ROW('Asset Class Returns &amp; Weights'!$A$166))</f>
        <v>122</v>
      </c>
      <c r="B13" s="56" cm="1">
        <f t="array" aca="1" ref="B13" ca="1">INDIRECT("'Asset Class Returns &amp; Weights'!A"&amp;$A13)</f>
        <v>44681</v>
      </c>
      <c r="C13" s="74" cm="1">
        <f t="array" aca="1" ref="C13" ca="1">INDIRECT("'Asset Class Returns &amp; Weights'!AA"&amp;$A13)</f>
        <v>-1.7163787658669345</v>
      </c>
      <c r="D13" s="4">
        <f t="shared" ca="1" si="1"/>
        <v>0.98283621234133067</v>
      </c>
      <c r="E13" s="4">
        <f t="shared" ca="1" si="5"/>
        <v>1.0695772540316566</v>
      </c>
      <c r="F13" s="60">
        <f ca="1">'Asset Class Returns &amp; Weights'!$G$14*'(Bootstrap Simulation)'!E13</f>
        <v>161.05186108981025</v>
      </c>
      <c r="G13" s="74" cm="1">
        <f t="array" aca="1" ref="G13" ca="1">INDIRECT("'Asset Class Returns &amp; Weights'!AI"&amp;$A13)</f>
        <v>-0.11594444444444449</v>
      </c>
      <c r="H13" s="4">
        <f t="shared" ca="1" si="2"/>
        <v>0.99884055555555551</v>
      </c>
      <c r="I13" s="4">
        <f t="shared" ca="1" si="6"/>
        <v>0.99541801119944218</v>
      </c>
      <c r="J13" s="60">
        <f ca="1">'Asset Class Returns &amp; Weights'!$G$15*'(Bootstrap Simulation)'!I13</f>
        <v>150.07102696829901</v>
      </c>
      <c r="K13" s="63">
        <f t="shared" ca="1" si="3"/>
        <v>1.0731709134224212</v>
      </c>
      <c r="L13" s="58">
        <f t="shared" ca="1" si="4"/>
        <v>10.980834121511236</v>
      </c>
      <c r="N13">
        <f t="shared" si="0"/>
        <v>12</v>
      </c>
      <c r="O13" s="63">
        <v>1.3492932388098895</v>
      </c>
      <c r="P13" s="62">
        <v>51.183037255568081</v>
      </c>
    </row>
    <row r="14" spans="1:16" x14ac:dyDescent="0.2">
      <c r="A14" s="39">
        <f ca="1">RANDBETWEEN(ROW('Asset Class Returns &amp; Weights'!$A$23),ROW('Asset Class Returns &amp; Weights'!$A$166))</f>
        <v>137</v>
      </c>
      <c r="B14" s="56" cm="1">
        <f t="array" aca="1" ref="B14" ca="1">INDIRECT("'Asset Class Returns &amp; Weights'!A"&amp;$A14)</f>
        <v>45138</v>
      </c>
      <c r="C14" s="74" cm="1">
        <f t="array" aca="1" ref="C14" ca="1">INDIRECT("'Asset Class Returns &amp; Weights'!AA"&amp;$A14)</f>
        <v>1.9636320377819911</v>
      </c>
      <c r="D14" s="4">
        <f t="shared" ca="1" si="1"/>
        <v>1.0196363203778198</v>
      </c>
      <c r="E14" s="4">
        <f t="shared" ca="1" si="5"/>
        <v>1.090579815660651</v>
      </c>
      <c r="F14" s="60">
        <f ca="1">'Asset Class Returns &amp; Weights'!$G$14*'(Bootstrap Simulation)'!E14</f>
        <v>164.21432703161389</v>
      </c>
      <c r="G14" s="74" cm="1">
        <f t="array" aca="1" ref="G14" ca="1">INDIRECT("'Asset Class Returns &amp; Weights'!AI"&amp;$A14)</f>
        <v>0.15680555555555556</v>
      </c>
      <c r="H14" s="4">
        <f t="shared" ca="1" si="2"/>
        <v>1.0015680555555555</v>
      </c>
      <c r="I14" s="4">
        <f t="shared" ca="1" si="6"/>
        <v>0.99697888194200346</v>
      </c>
      <c r="J14" s="60">
        <f ca="1">'Asset Class Returns &amp; Weights'!$G$15*'(Bootstrap Simulation)'!I14</f>
        <v>150.30634667586455</v>
      </c>
      <c r="K14" s="63">
        <f t="shared" ca="1" si="3"/>
        <v>1.0925308921634687</v>
      </c>
      <c r="L14" s="58">
        <f t="shared" ca="1" si="4"/>
        <v>13.907980355749345</v>
      </c>
      <c r="N14">
        <f t="shared" si="0"/>
        <v>13</v>
      </c>
      <c r="O14" s="63">
        <v>2.004599384664878</v>
      </c>
      <c r="P14" s="62">
        <v>151.51739588505322</v>
      </c>
    </row>
    <row r="15" spans="1:16" x14ac:dyDescent="0.2">
      <c r="A15" s="39">
        <f ca="1">RANDBETWEEN(ROW('Asset Class Returns &amp; Weights'!$A$23),ROW('Asset Class Returns &amp; Weights'!$A$166))</f>
        <v>156</v>
      </c>
      <c r="B15" s="56" cm="1">
        <f t="array" aca="1" ref="B15" ca="1">INDIRECT("'Asset Class Returns &amp; Weights'!A"&amp;$A15)</f>
        <v>45716</v>
      </c>
      <c r="C15" s="74" cm="1">
        <f t="array" aca="1" ref="C15" ca="1">INDIRECT("'Asset Class Returns &amp; Weights'!AA"&amp;$A15)</f>
        <v>-0.63980558944311527</v>
      </c>
      <c r="D15" s="4">
        <f t="shared" ca="1" si="1"/>
        <v>0.9936019441055689</v>
      </c>
      <c r="E15" s="4">
        <f t="shared" ca="1" si="5"/>
        <v>1.0836022250427157</v>
      </c>
      <c r="F15" s="60">
        <f ca="1">'Asset Class Returns &amp; Weights'!$G$14*'(Bootstrap Simulation)'!E15</f>
        <v>163.16367458859924</v>
      </c>
      <c r="G15" s="74" cm="1">
        <f t="array" aca="1" ref="G15" ca="1">INDIRECT("'Asset Class Returns &amp; Weights'!AI"&amp;$A15)</f>
        <v>0.15890277777777778</v>
      </c>
      <c r="H15" s="4">
        <f t="shared" ca="1" si="2"/>
        <v>1.0015890277777777</v>
      </c>
      <c r="I15" s="4">
        <f t="shared" ca="1" si="6"/>
        <v>0.99856310907926704</v>
      </c>
      <c r="J15" s="60">
        <f ca="1">'Asset Class Returns &amp; Weights'!$G$15*'(Bootstrap Simulation)'!I15</f>
        <v>150.54518763590877</v>
      </c>
      <c r="K15" s="63">
        <f t="shared" ca="1" si="3"/>
        <v>1.0838186005866097</v>
      </c>
      <c r="L15" s="58">
        <f t="shared" ca="1" si="4"/>
        <v>12.618486952690461</v>
      </c>
      <c r="N15">
        <f t="shared" si="0"/>
        <v>14</v>
      </c>
      <c r="O15" s="63">
        <v>1.6748434227921321</v>
      </c>
      <c r="P15" s="62">
        <v>99.351694640671724</v>
      </c>
    </row>
    <row r="16" spans="1:16" x14ac:dyDescent="0.2">
      <c r="A16" s="39">
        <f ca="1">RANDBETWEEN(ROW('Asset Class Returns &amp; Weights'!$A$23),ROW('Asset Class Returns &amp; Weights'!$A$166))</f>
        <v>109</v>
      </c>
      <c r="B16" s="56" cm="1">
        <f t="array" aca="1" ref="B16" ca="1">INDIRECT("'Asset Class Returns &amp; Weights'!A"&amp;$A16)</f>
        <v>44286</v>
      </c>
      <c r="C16" s="74" cm="1">
        <f t="array" aca="1" ref="C16" ca="1">INDIRECT("'Asset Class Returns &amp; Weights'!AA"&amp;$A16)</f>
        <v>2.1554149374730458</v>
      </c>
      <c r="D16" s="4">
        <f t="shared" ca="1" si="1"/>
        <v>1.0215541493747304</v>
      </c>
      <c r="E16" s="4">
        <f t="shared" ca="1" si="5"/>
        <v>1.1069583492640767</v>
      </c>
      <c r="F16" s="60">
        <f ca="1">'Asset Class Returns &amp; Weights'!$G$14*'(Bootstrap Simulation)'!E16</f>
        <v>166.68052880321179</v>
      </c>
      <c r="G16" s="74" cm="1">
        <f t="array" aca="1" ref="G16" ca="1">INDIRECT("'Asset Class Returns &amp; Weights'!AI"&amp;$A16)</f>
        <v>-0.15231944444444445</v>
      </c>
      <c r="H16" s="4">
        <f t="shared" ca="1" si="2"/>
        <v>0.99847680555555551</v>
      </c>
      <c r="I16" s="4">
        <f t="shared" ca="1" si="6"/>
        <v>0.99704210329909027</v>
      </c>
      <c r="J16" s="60">
        <f ca="1">'Asset Class Returns &amp; Weights'!$G$15*'(Bootstrap Simulation)'!I16</f>
        <v>150.31587804246391</v>
      </c>
      <c r="K16" s="63">
        <f t="shared" ca="1" si="3"/>
        <v>1.1088684108017179</v>
      </c>
      <c r="L16" s="58">
        <f t="shared" ca="1" si="4"/>
        <v>16.364650760747878</v>
      </c>
      <c r="N16">
        <f t="shared" si="0"/>
        <v>15</v>
      </c>
      <c r="O16" s="63">
        <v>2.2213073517595223</v>
      </c>
      <c r="P16" s="62">
        <v>182.71056204201437</v>
      </c>
    </row>
    <row r="17" spans="1:16" x14ac:dyDescent="0.2">
      <c r="A17" s="39">
        <f ca="1">RANDBETWEEN(ROW('Asset Class Returns &amp; Weights'!$A$23),ROW('Asset Class Returns &amp; Weights'!$A$166))</f>
        <v>133</v>
      </c>
      <c r="B17" s="56" cm="1">
        <f t="array" aca="1" ref="B17" ca="1">INDIRECT("'Asset Class Returns &amp; Weights'!A"&amp;$A17)</f>
        <v>45016</v>
      </c>
      <c r="C17" s="74" cm="1">
        <f t="array" aca="1" ref="C17" ca="1">INDIRECT("'Asset Class Returns &amp; Weights'!AA"&amp;$A17)</f>
        <v>-0.25809067214290327</v>
      </c>
      <c r="D17" s="4">
        <f t="shared" ca="1" si="1"/>
        <v>0.99741909327857092</v>
      </c>
      <c r="E17" s="4">
        <f t="shared" ca="1" si="5"/>
        <v>1.1041013930201189</v>
      </c>
      <c r="F17" s="60">
        <f ca="1">'Asset Class Returns &amp; Weights'!$G$14*'(Bootstrap Simulation)'!E17</f>
        <v>166.25034190609222</v>
      </c>
      <c r="G17" s="74" cm="1">
        <f t="array" aca="1" ref="G17" ca="1">INDIRECT("'Asset Class Returns &amp; Weights'!AI"&amp;$A17)</f>
        <v>8.5291666666666668E-2</v>
      </c>
      <c r="H17" s="4">
        <f t="shared" ca="1" si="2"/>
        <v>1.0008529166666666</v>
      </c>
      <c r="I17" s="4">
        <f t="shared" ca="1" si="6"/>
        <v>0.99789249712636241</v>
      </c>
      <c r="J17" s="60">
        <f ca="1">'Asset Class Returns &amp; Weights'!$G$15*'(Bootstrap Simulation)'!I17</f>
        <v>150.44408496011096</v>
      </c>
      <c r="K17" s="63">
        <f t="shared" ca="1" si="3"/>
        <v>1.1050639973660126</v>
      </c>
      <c r="L17" s="58">
        <f t="shared" ca="1" si="4"/>
        <v>15.806256945981261</v>
      </c>
      <c r="N17">
        <f t="shared" si="0"/>
        <v>16</v>
      </c>
      <c r="O17" s="63">
        <v>1.6371635168126726</v>
      </c>
      <c r="P17" s="62">
        <v>95.091020584759207</v>
      </c>
    </row>
    <row r="18" spans="1:16" x14ac:dyDescent="0.2">
      <c r="A18" s="39">
        <f ca="1">RANDBETWEEN(ROW('Asset Class Returns &amp; Weights'!$A$23),ROW('Asset Class Returns &amp; Weights'!$A$166))</f>
        <v>142</v>
      </c>
      <c r="B18" s="56" cm="1">
        <f t="array" aca="1" ref="B18" ca="1">INDIRECT("'Asset Class Returns &amp; Weights'!A"&amp;$A18)</f>
        <v>45291</v>
      </c>
      <c r="C18" s="74" cm="1">
        <f t="array" aca="1" ref="C18" ca="1">INDIRECT("'Asset Class Returns &amp; Weights'!AA"&amp;$A18)</f>
        <v>3.580071379617352</v>
      </c>
      <c r="D18" s="4">
        <f t="shared" ca="1" si="1"/>
        <v>1.0358007137961736</v>
      </c>
      <c r="E18" s="4">
        <f t="shared" ca="1" si="5"/>
        <v>1.1436290109935887</v>
      </c>
      <c r="F18" s="60">
        <f ca="1">'Asset Class Returns &amp; Weights'!$G$14*'(Bootstrap Simulation)'!E18</f>
        <v>172.20222281518824</v>
      </c>
      <c r="G18" s="74" cm="1">
        <f t="array" aca="1" ref="G18" ca="1">INDIRECT("'Asset Class Returns &amp; Weights'!AI"&amp;$A18)</f>
        <v>0.10123611111111112</v>
      </c>
      <c r="H18" s="4">
        <f t="shared" ca="1" si="2"/>
        <v>1.001012361111111</v>
      </c>
      <c r="I18" s="4">
        <f t="shared" ca="1" si="6"/>
        <v>0.99890272468352259</v>
      </c>
      <c r="J18" s="60">
        <f ca="1">'Asset Class Returns &amp; Weights'!$G$15*'(Bootstrap Simulation)'!I18</f>
        <v>150.59638870112127</v>
      </c>
      <c r="K18" s="63">
        <f t="shared" ca="1" si="3"/>
        <v>1.1434684742470593</v>
      </c>
      <c r="L18" s="58">
        <f t="shared" ca="1" si="4"/>
        <v>21.605834114066965</v>
      </c>
      <c r="N18">
        <f t="shared" si="0"/>
        <v>17</v>
      </c>
      <c r="O18" s="63">
        <v>1.4111659621695885</v>
      </c>
      <c r="P18" s="62">
        <v>60.664509505601643</v>
      </c>
    </row>
    <row r="19" spans="1:16" x14ac:dyDescent="0.2">
      <c r="A19" s="39">
        <f ca="1">RANDBETWEEN(ROW('Asset Class Returns &amp; Weights'!$A$23),ROW('Asset Class Returns &amp; Weights'!$A$166))</f>
        <v>163</v>
      </c>
      <c r="B19" s="56" cm="1">
        <f t="array" aca="1" ref="B19" ca="1">INDIRECT("'Asset Class Returns &amp; Weights'!A"&amp;$A19)</f>
        <v>45930</v>
      </c>
      <c r="C19" s="74" cm="1">
        <f t="array" aca="1" ref="C19" ca="1">INDIRECT("'Asset Class Returns &amp; Weights'!AA"&amp;$A19)</f>
        <v>1.5120608050198472</v>
      </c>
      <c r="D19" s="4">
        <f t="shared" ca="1" si="1"/>
        <v>1.0151206080501984</v>
      </c>
      <c r="E19" s="4">
        <f t="shared" ca="1" si="5"/>
        <v>1.1609213770236588</v>
      </c>
      <c r="F19" s="60">
        <f ca="1">'Asset Class Returns &amp; Weights'!$G$14*'(Bootstrap Simulation)'!E19</f>
        <v>174.80602513174964</v>
      </c>
      <c r="G19" s="74" cm="1">
        <f t="array" aca="1" ref="G19" ca="1">INDIRECT("'Asset Class Returns &amp; Weights'!AI"&amp;$A19)</f>
        <v>0.20029166666666667</v>
      </c>
      <c r="H19" s="4">
        <f t="shared" ca="1" si="2"/>
        <v>1.0020029166666666</v>
      </c>
      <c r="I19" s="4">
        <f t="shared" ca="1" si="6"/>
        <v>1.0009034435991699</v>
      </c>
      <c r="J19" s="60">
        <f ca="1">'Asset Class Returns &amp; Weights'!$G$15*'(Bootstrap Simulation)'!I19</f>
        <v>150.89802071799053</v>
      </c>
      <c r="K19" s="63">
        <f t="shared" ca="1" si="3"/>
        <v>1.1584381577704068</v>
      </c>
      <c r="L19" s="58">
        <f t="shared" ca="1" si="4"/>
        <v>23.908004413759102</v>
      </c>
      <c r="N19">
        <f t="shared" si="0"/>
        <v>18</v>
      </c>
      <c r="O19" s="63">
        <v>1.1455831078816807</v>
      </c>
      <c r="P19" s="62">
        <v>21.303840851650079</v>
      </c>
    </row>
    <row r="20" spans="1:16" x14ac:dyDescent="0.2">
      <c r="A20" s="39">
        <f ca="1">RANDBETWEEN(ROW('Asset Class Returns &amp; Weights'!$A$23),ROW('Asset Class Returns &amp; Weights'!$A$166))</f>
        <v>135</v>
      </c>
      <c r="B20" s="56" cm="1">
        <f t="array" aca="1" ref="B20" ca="1">INDIRECT("'Asset Class Returns &amp; Weights'!A"&amp;$A20)</f>
        <v>45077</v>
      </c>
      <c r="C20" s="74" cm="1">
        <f t="array" aca="1" ref="C20" ca="1">INDIRECT("'Asset Class Returns &amp; Weights'!AA"&amp;$A20)</f>
        <v>-1.4816122688402813</v>
      </c>
      <c r="D20" s="4">
        <f t="shared" ca="1" si="1"/>
        <v>0.98518387731159718</v>
      </c>
      <c r="E20" s="4">
        <f t="shared" ca="1" si="5"/>
        <v>1.1437210234700868</v>
      </c>
      <c r="F20" s="60">
        <f ca="1">'Asset Class Returns &amp; Weights'!$G$14*'(Bootstrap Simulation)'!E20</f>
        <v>172.21607761672561</v>
      </c>
      <c r="G20" s="74" cm="1">
        <f t="array" aca="1" ref="G20" ca="1">INDIRECT("'Asset Class Returns &amp; Weights'!AI"&amp;$A20)</f>
        <v>0.14638888888888887</v>
      </c>
      <c r="H20" s="4">
        <f t="shared" ca="1" si="2"/>
        <v>1.0014638888888889</v>
      </c>
      <c r="I20" s="4">
        <f t="shared" ca="1" si="6"/>
        <v>1.0023686550291053</v>
      </c>
      <c r="J20" s="60">
        <f ca="1">'Asset Class Returns &amp; Weights'!$G$15*'(Bootstrap Simulation)'!I20</f>
        <v>151.11891865387491</v>
      </c>
      <c r="K20" s="63">
        <f t="shared" ca="1" si="3"/>
        <v>1.1396063388408169</v>
      </c>
      <c r="L20" s="58">
        <f t="shared" ca="1" si="4"/>
        <v>21.097158962850699</v>
      </c>
      <c r="N20">
        <f t="shared" si="0"/>
        <v>19</v>
      </c>
      <c r="O20" s="63">
        <v>1.6755553452105556</v>
      </c>
      <c r="P20" s="62">
        <v>101.2581219388162</v>
      </c>
    </row>
    <row r="21" spans="1:16" x14ac:dyDescent="0.2">
      <c r="A21" s="39">
        <f ca="1">RANDBETWEEN(ROW('Asset Class Returns &amp; Weights'!$A$23),ROW('Asset Class Returns &amp; Weights'!$A$166))</f>
        <v>39</v>
      </c>
      <c r="B21" s="56" cm="1">
        <f t="array" aca="1" ref="B21" ca="1">INDIRECT("'Asset Class Returns &amp; Weights'!A"&amp;$A21)</f>
        <v>41943</v>
      </c>
      <c r="C21" s="74" cm="1">
        <f t="array" aca="1" ref="C21" ca="1">INDIRECT("'Asset Class Returns &amp; Weights'!AA"&amp;$A21)</f>
        <v>0.54311279831289316</v>
      </c>
      <c r="D21" s="4">
        <f t="shared" ca="1" si="1"/>
        <v>1.0054311279831289</v>
      </c>
      <c r="E21" s="4">
        <f t="shared" ca="1" si="5"/>
        <v>1.1499327187255479</v>
      </c>
      <c r="F21" s="60">
        <f ca="1">'Asset Class Returns &amp; Weights'!$G$14*'(Bootstrap Simulation)'!E21</f>
        <v>173.1514051750145</v>
      </c>
      <c r="G21" s="74" cm="1">
        <f t="array" aca="1" ref="G21" ca="1">INDIRECT("'Asset Class Returns &amp; Weights'!AI"&amp;$A21)</f>
        <v>-1.2916666666666667E-3</v>
      </c>
      <c r="H21" s="4">
        <f t="shared" ca="1" si="2"/>
        <v>0.9999870833333333</v>
      </c>
      <c r="I21" s="4">
        <f t="shared" ca="1" si="6"/>
        <v>1.0023557077673111</v>
      </c>
      <c r="J21" s="60">
        <f ca="1">'Asset Class Returns &amp; Weights'!$G$15*'(Bootstrap Simulation)'!I21</f>
        <v>151.11696670117561</v>
      </c>
      <c r="K21" s="63">
        <f t="shared" ca="1" si="3"/>
        <v>1.1458104867695671</v>
      </c>
      <c r="L21" s="58">
        <f t="shared" ca="1" si="4"/>
        <v>22.03443847383889</v>
      </c>
      <c r="N21">
        <f t="shared" si="0"/>
        <v>20</v>
      </c>
      <c r="O21" s="63">
        <v>2.2751891985123591</v>
      </c>
      <c r="P21" s="62">
        <v>185.9632315640543</v>
      </c>
    </row>
    <row r="22" spans="1:16" x14ac:dyDescent="0.2">
      <c r="A22" s="39">
        <f ca="1">RANDBETWEEN(ROW('Asset Class Returns &amp; Weights'!$A$23),ROW('Asset Class Returns &amp; Weights'!$A$166))</f>
        <v>39</v>
      </c>
      <c r="B22" s="56" cm="1">
        <f t="array" aca="1" ref="B22" ca="1">INDIRECT("'Asset Class Returns &amp; Weights'!A"&amp;$A22)</f>
        <v>41943</v>
      </c>
      <c r="C22" s="74" cm="1">
        <f t="array" aca="1" ref="C22" ca="1">INDIRECT("'Asset Class Returns &amp; Weights'!AA"&amp;$A22)</f>
        <v>0.54311279831289316</v>
      </c>
      <c r="D22" s="4">
        <f t="shared" ca="1" si="1"/>
        <v>1.0054311279831289</v>
      </c>
      <c r="E22" s="4">
        <f t="shared" ca="1" si="5"/>
        <v>1.1561781504929338</v>
      </c>
      <c r="F22" s="60">
        <f ca="1">'Asset Class Returns &amp; Weights'!$G$14*'(Bootstrap Simulation)'!E22</f>
        <v>174.09181261697861</v>
      </c>
      <c r="G22" s="74" cm="1">
        <f t="array" aca="1" ref="G22" ca="1">INDIRECT("'Asset Class Returns &amp; Weights'!AI"&amp;$A22)</f>
        <v>-1.2916666666666667E-3</v>
      </c>
      <c r="H22" s="4">
        <f t="shared" ca="1" si="2"/>
        <v>0.9999870833333333</v>
      </c>
      <c r="I22" s="4">
        <f t="shared" ca="1" si="6"/>
        <v>1.0023427606727524</v>
      </c>
      <c r="J22" s="60">
        <f ca="1">'Asset Class Returns &amp; Weights'!$G$15*'(Bootstrap Simulation)'!I22</f>
        <v>151.11501477368907</v>
      </c>
      <c r="K22" s="63">
        <f t="shared" ca="1" si="3"/>
        <v>1.1520484107929299</v>
      </c>
      <c r="L22" s="58">
        <f t="shared" ca="1" si="4"/>
        <v>22.976797843289546</v>
      </c>
      <c r="N22">
        <f t="shared" si="0"/>
        <v>21</v>
      </c>
      <c r="O22" s="63">
        <v>1.5568304766118215</v>
      </c>
      <c r="P22" s="62">
        <v>81.092891152526988</v>
      </c>
    </row>
    <row r="23" spans="1:16" x14ac:dyDescent="0.2">
      <c r="A23" s="39">
        <f ca="1">RANDBETWEEN(ROW('Asset Class Returns &amp; Weights'!$A$23),ROW('Asset Class Returns &amp; Weights'!$A$166))</f>
        <v>32</v>
      </c>
      <c r="B23" s="56" cm="1">
        <f t="array" aca="1" ref="B23" ca="1">INDIRECT("'Asset Class Returns &amp; Weights'!A"&amp;$A23)</f>
        <v>41729</v>
      </c>
      <c r="C23" s="74" cm="1">
        <f t="array" aca="1" ref="C23" ca="1">INDIRECT("'Asset Class Returns &amp; Weights'!AA"&amp;$A23)</f>
        <v>-0.42414010254649709</v>
      </c>
      <c r="D23" s="4">
        <f t="shared" ca="1" si="1"/>
        <v>0.995758598974535</v>
      </c>
      <c r="E23" s="4">
        <f t="shared" ca="1" si="5"/>
        <v>1.1512743352998129</v>
      </c>
      <c r="F23" s="60">
        <f ca="1">'Asset Class Returns &amp; Weights'!$G$14*'(Bootstrap Simulation)'!E23</f>
        <v>173.35341942441991</v>
      </c>
      <c r="G23" s="74" cm="1">
        <f t="array" aca="1" ref="G23" ca="1">INDIRECT("'Asset Class Returns &amp; Weights'!AI"&amp;$A23)</f>
        <v>1.9805555555555548E-2</v>
      </c>
      <c r="H23" s="4">
        <f t="shared" ca="1" si="2"/>
        <v>1.0001980555555556</v>
      </c>
      <c r="I23" s="4">
        <f t="shared" ca="1" si="6"/>
        <v>1.0025412802250746</v>
      </c>
      <c r="J23" s="60">
        <f ca="1">'Asset Class Returns &amp; Weights'!$G$15*'(Bootstrap Simulation)'!I23</f>
        <v>151.14494394189288</v>
      </c>
      <c r="K23" s="63">
        <f t="shared" ca="1" si="3"/>
        <v>1.1469349546423795</v>
      </c>
      <c r="L23" s="58">
        <f t="shared" ca="1" si="4"/>
        <v>22.208475482527035</v>
      </c>
      <c r="N23">
        <f t="shared" si="0"/>
        <v>22</v>
      </c>
      <c r="O23" s="63">
        <v>1.5369757114606952</v>
      </c>
      <c r="P23" s="62">
        <v>80.131875708331279</v>
      </c>
    </row>
    <row r="24" spans="1:16" x14ac:dyDescent="0.2">
      <c r="A24" s="39">
        <f ca="1">RANDBETWEEN(ROW('Asset Class Returns &amp; Weights'!$A$23),ROW('Asset Class Returns &amp; Weights'!$A$166))</f>
        <v>50</v>
      </c>
      <c r="B24" s="56" cm="1">
        <f t="array" aca="1" ref="B24" ca="1">INDIRECT("'Asset Class Returns &amp; Weights'!A"&amp;$A24)</f>
        <v>42277</v>
      </c>
      <c r="C24" s="74" cm="1">
        <f t="array" aca="1" ref="C24" ca="1">INDIRECT("'Asset Class Returns &amp; Weights'!AA"&amp;$A24)</f>
        <v>-0.94912629185626851</v>
      </c>
      <c r="D24" s="4">
        <f t="shared" ca="1" si="1"/>
        <v>0.99050873708143727</v>
      </c>
      <c r="E24" s="4">
        <f t="shared" ca="1" si="5"/>
        <v>1.1403472878920888</v>
      </c>
      <c r="F24" s="60">
        <f ca="1">'Asset Class Returns &amp; Weights'!$G$14*'(Bootstrap Simulation)'!E24</f>
        <v>171.70807654283087</v>
      </c>
      <c r="G24" s="74" cm="1">
        <f t="array" aca="1" ref="G24" ca="1">INDIRECT("'Asset Class Returns &amp; Weights'!AI"&amp;$A24)</f>
        <v>-2.7708333333333335E-2</v>
      </c>
      <c r="H24" s="4">
        <f t="shared" ca="1" si="2"/>
        <v>0.99972291666666668</v>
      </c>
      <c r="I24" s="4">
        <f t="shared" ca="1" si="6"/>
        <v>1.0022634927453455</v>
      </c>
      <c r="J24" s="60">
        <f ca="1">'Asset Class Returns &amp; Weights'!$G$15*'(Bootstrap Simulation)'!I24</f>
        <v>151.10306419700896</v>
      </c>
      <c r="K24" s="63">
        <f t="shared" ca="1" si="3"/>
        <v>1.1363639609515594</v>
      </c>
      <c r="L24" s="58">
        <f t="shared" ca="1" si="4"/>
        <v>20.605012345821905</v>
      </c>
      <c r="N24">
        <f t="shared" si="0"/>
        <v>23</v>
      </c>
      <c r="O24" s="63">
        <v>2.3526380626463799</v>
      </c>
      <c r="P24" s="62">
        <v>195.51885482889773</v>
      </c>
    </row>
    <row r="25" spans="1:16" x14ac:dyDescent="0.2">
      <c r="A25" s="39">
        <f ca="1">RANDBETWEEN(ROW('Asset Class Returns &amp; Weights'!$A$23),ROW('Asset Class Returns &amp; Weights'!$A$166))</f>
        <v>119</v>
      </c>
      <c r="B25" s="56" cm="1">
        <f t="array" aca="1" ref="B25" ca="1">INDIRECT("'Asset Class Returns &amp; Weights'!A"&amp;$A25)</f>
        <v>44592</v>
      </c>
      <c r="C25" s="74" cm="1">
        <f t="array" aca="1" ref="C25" ca="1">INDIRECT("'Asset Class Returns &amp; Weights'!AA"&amp;$A25)</f>
        <v>-2.2568118607420633</v>
      </c>
      <c r="D25" s="4">
        <f t="shared" ca="1" si="1"/>
        <v>0.97743188139257942</v>
      </c>
      <c r="E25" s="4">
        <f t="shared" ca="1" si="5"/>
        <v>1.1146117950452898</v>
      </c>
      <c r="F25" s="60">
        <f ca="1">'Asset Class Returns &amp; Weights'!$G$14*'(Bootstrap Simulation)'!E25</f>
        <v>167.83294830556019</v>
      </c>
      <c r="G25" s="74" cm="1">
        <f t="array" aca="1" ref="G25" ca="1">INDIRECT("'Asset Class Returns &amp; Weights'!AI"&amp;$A25)</f>
        <v>-0.14984722222222224</v>
      </c>
      <c r="H25" s="4">
        <f t="shared" ca="1" si="2"/>
        <v>0.99850152777777779</v>
      </c>
      <c r="I25" s="4">
        <f t="shared" ca="1" si="6"/>
        <v>1.0007616287421193</v>
      </c>
      <c r="J25" s="60">
        <f ca="1">'Asset Class Returns &amp; Weights'!$G$15*'(Bootstrap Simulation)'!I25</f>
        <v>150.8766404526171</v>
      </c>
      <c r="K25" s="63">
        <f t="shared" ca="1" si="3"/>
        <v>1.1123852426861813</v>
      </c>
      <c r="L25" s="58">
        <f t="shared" ca="1" si="4"/>
        <v>16.956307852943098</v>
      </c>
      <c r="N25">
        <f t="shared" si="0"/>
        <v>24</v>
      </c>
      <c r="O25" s="63">
        <v>1.9121089804504534</v>
      </c>
      <c r="P25" s="62">
        <v>133.05839799898774</v>
      </c>
    </row>
    <row r="26" spans="1:16" x14ac:dyDescent="0.2">
      <c r="A26" s="39">
        <f ca="1">RANDBETWEEN(ROW('Asset Class Returns &amp; Weights'!$A$23),ROW('Asset Class Returns &amp; Weights'!$A$166))</f>
        <v>83</v>
      </c>
      <c r="B26" s="56" cm="1">
        <f t="array" aca="1" ref="B26" ca="1">INDIRECT("'Asset Class Returns &amp; Weights'!A"&amp;$A26)</f>
        <v>43281</v>
      </c>
      <c r="C26" s="74" cm="1">
        <f t="array" aca="1" ref="C26" ca="1">INDIRECT("'Asset Class Returns &amp; Weights'!AA"&amp;$A26)</f>
        <v>0.17050584189129772</v>
      </c>
      <c r="D26" s="4">
        <f t="shared" ca="1" si="1"/>
        <v>1.0017050584189129</v>
      </c>
      <c r="E26" s="4">
        <f t="shared" ca="1" si="5"/>
        <v>1.1165122732702515</v>
      </c>
      <c r="F26" s="60">
        <f ca="1">'Asset Class Returns &amp; Weights'!$G$14*'(Bootstrap Simulation)'!E26</f>
        <v>168.1191132870396</v>
      </c>
      <c r="G26" s="74" cm="1">
        <f t="array" aca="1" ref="G26" ca="1">INDIRECT("'Asset Class Returns &amp; Weights'!AI"&amp;$A26)</f>
        <v>-8.6250000000000021E-2</v>
      </c>
      <c r="H26" s="4">
        <f t="shared" ca="1" si="2"/>
        <v>0.99913750000000001</v>
      </c>
      <c r="I26" s="4">
        <f t="shared" ca="1" si="6"/>
        <v>0.99989847183732916</v>
      </c>
      <c r="J26" s="60">
        <f ca="1">'Asset Class Returns &amp; Weights'!$G$15*'(Bootstrap Simulation)'!I26</f>
        <v>150.74650935022672</v>
      </c>
      <c r="K26" s="63">
        <f t="shared" ca="1" si="3"/>
        <v>1.115243822306037</v>
      </c>
      <c r="L26" s="58">
        <f t="shared" ca="1" si="4"/>
        <v>17.37260393681288</v>
      </c>
      <c r="N26">
        <f t="shared" si="0"/>
        <v>25</v>
      </c>
      <c r="O26" s="63">
        <v>1.8783473729698557</v>
      </c>
      <c r="P26" s="62">
        <v>125.76739399257207</v>
      </c>
    </row>
    <row r="27" spans="1:16" x14ac:dyDescent="0.2">
      <c r="A27" s="39">
        <f ca="1">RANDBETWEEN(ROW('Asset Class Returns &amp; Weights'!$A$23),ROW('Asset Class Returns &amp; Weights'!$A$166))</f>
        <v>136</v>
      </c>
      <c r="B27" s="56" cm="1">
        <f t="array" aca="1" ref="B27" ca="1">INDIRECT("'Asset Class Returns &amp; Weights'!A"&amp;$A27)</f>
        <v>45107</v>
      </c>
      <c r="C27" s="74" cm="1">
        <f t="array" aca="1" ref="C27" ca="1">INDIRECT("'Asset Class Returns &amp; Weights'!AA"&amp;$A27)</f>
        <v>0.76715041455256716</v>
      </c>
      <c r="D27" s="4">
        <f t="shared" ca="1" si="1"/>
        <v>1.0076715041455258</v>
      </c>
      <c r="E27" s="4">
        <f t="shared" ca="1" si="5"/>
        <v>1.1250776018031745</v>
      </c>
      <c r="F27" s="60">
        <f ca="1">'Asset Class Returns &amp; Weights'!$G$14*'(Bootstrap Simulation)'!E27</f>
        <v>169.4088397615632</v>
      </c>
      <c r="G27" s="74" cm="1">
        <f t="array" aca="1" ref="G27" ca="1">INDIRECT("'Asset Class Returns &amp; Weights'!AI"&amp;$A27)</f>
        <v>0.16063888888888889</v>
      </c>
      <c r="H27" s="4">
        <f t="shared" ca="1" si="2"/>
        <v>1.0016063888888889</v>
      </c>
      <c r="I27" s="4">
        <f t="shared" ca="1" si="6"/>
        <v>1.0015046976325057</v>
      </c>
      <c r="J27" s="60">
        <f ca="1">'Asset Class Returns &amp; Weights'!$G$15*'(Bootstrap Simulation)'!I27</f>
        <v>150.98866686788571</v>
      </c>
      <c r="K27" s="63">
        <f t="shared" ca="1" si="3"/>
        <v>1.121997056307511</v>
      </c>
      <c r="L27" s="58">
        <f t="shared" ca="1" si="4"/>
        <v>18.420172893677488</v>
      </c>
      <c r="N27">
        <f t="shared" si="0"/>
        <v>26</v>
      </c>
      <c r="O27" s="63">
        <v>1.5427126670753355</v>
      </c>
      <c r="P27" s="62">
        <v>79.612294662544826</v>
      </c>
    </row>
    <row r="28" spans="1:16" x14ac:dyDescent="0.2">
      <c r="A28" s="39">
        <f ca="1">RANDBETWEEN(ROW('Asset Class Returns &amp; Weights'!$A$23),ROW('Asset Class Returns &amp; Weights'!$A$166))</f>
        <v>138</v>
      </c>
      <c r="B28" s="56" cm="1">
        <f t="array" aca="1" ref="B28" ca="1">INDIRECT("'Asset Class Returns &amp; Weights'!A"&amp;$A28)</f>
        <v>45169</v>
      </c>
      <c r="C28" s="74" cm="1">
        <f t="array" aca="1" ref="C28" ca="1">INDIRECT("'Asset Class Returns &amp; Weights'!AA"&amp;$A28)</f>
        <v>-0.62523746935851443</v>
      </c>
      <c r="D28" s="4">
        <f t="shared" ca="1" si="1"/>
        <v>0.99374762530641481</v>
      </c>
      <c r="E28" s="4">
        <f t="shared" ca="1" si="5"/>
        <v>1.1180431950773408</v>
      </c>
      <c r="F28" s="60">
        <f ca="1">'Asset Class Returns &amp; Weights'!$G$14*'(Bootstrap Simulation)'!E28</f>
        <v>168.3496322189684</v>
      </c>
      <c r="G28" s="74" cm="1">
        <f t="array" aca="1" ref="G28" ca="1">INDIRECT("'Asset Class Returns &amp; Weights'!AI"&amp;$A28)</f>
        <v>0.15895833333333331</v>
      </c>
      <c r="H28" s="4">
        <f t="shared" ca="1" si="2"/>
        <v>1.0015895833333333</v>
      </c>
      <c r="I28" s="4">
        <f t="shared" ca="1" si="6"/>
        <v>1.0030966728081172</v>
      </c>
      <c r="J28" s="60">
        <f ca="1">'Asset Class Returns &amp; Weights'!$G$15*'(Bootstrap Simulation)'!I28</f>
        <v>151.22867593626108</v>
      </c>
      <c r="K28" s="63">
        <f t="shared" ca="1" si="3"/>
        <v>1.1132123664821567</v>
      </c>
      <c r="L28" s="58">
        <f t="shared" ca="1" si="4"/>
        <v>17.120956282707311</v>
      </c>
      <c r="N28">
        <f t="shared" si="0"/>
        <v>27</v>
      </c>
      <c r="O28" s="63">
        <v>1.797145718652674</v>
      </c>
      <c r="P28" s="62">
        <v>116.36252201395351</v>
      </c>
    </row>
    <row r="29" spans="1:16" x14ac:dyDescent="0.2">
      <c r="A29" s="39">
        <f ca="1">RANDBETWEEN(ROW('Asset Class Returns &amp; Weights'!$A$23),ROW('Asset Class Returns &amp; Weights'!$A$166))</f>
        <v>59</v>
      </c>
      <c r="B29" s="56" cm="1">
        <f t="array" aca="1" ref="B29" ca="1">INDIRECT("'Asset Class Returns &amp; Weights'!A"&amp;$A29)</f>
        <v>42551</v>
      </c>
      <c r="C29" s="74" cm="1">
        <f t="array" aca="1" ref="C29" ca="1">INDIRECT("'Asset Class Returns &amp; Weights'!AA"&amp;$A29)</f>
        <v>3.3950819422879635</v>
      </c>
      <c r="D29" s="4">
        <f t="shared" ca="1" si="1"/>
        <v>1.0339508194228797</v>
      </c>
      <c r="E29" s="4">
        <f t="shared" ca="1" si="5"/>
        <v>1.1560016777003912</v>
      </c>
      <c r="F29" s="60">
        <f ca="1">'Asset Class Returns &amp; Weights'!$G$14*'(Bootstrap Simulation)'!E29</f>
        <v>174.06524018234279</v>
      </c>
      <c r="G29" s="74" cm="1">
        <f t="array" aca="1" ref="G29" ca="1">INDIRECT("'Asset Class Returns &amp; Weights'!AI"&amp;$A29)</f>
        <v>-8.4152777777777785E-2</v>
      </c>
      <c r="H29" s="4">
        <f t="shared" ca="1" si="2"/>
        <v>0.9991584722222222</v>
      </c>
      <c r="I29" s="4">
        <f t="shared" ca="1" si="6"/>
        <v>1.0022525390941528</v>
      </c>
      <c r="J29" s="60">
        <f ca="1">'Asset Class Returns &amp; Weights'!$G$15*'(Bootstrap Simulation)'!I29</f>
        <v>151.10141280466419</v>
      </c>
      <c r="K29" s="63">
        <f t="shared" ca="1" si="3"/>
        <v>1.1519762585368081</v>
      </c>
      <c r="L29" s="58">
        <f t="shared" ca="1" si="4"/>
        <v>22.963827377678598</v>
      </c>
      <c r="N29">
        <f t="shared" si="0"/>
        <v>28</v>
      </c>
      <c r="O29" s="63">
        <v>2.0445568216890084</v>
      </c>
      <c r="P29" s="62">
        <v>152.35652289802616</v>
      </c>
    </row>
    <row r="30" spans="1:16" x14ac:dyDescent="0.2">
      <c r="A30" s="39">
        <f ca="1">RANDBETWEEN(ROW('Asset Class Returns &amp; Weights'!$A$23),ROW('Asset Class Returns &amp; Weights'!$A$166))</f>
        <v>102</v>
      </c>
      <c r="B30" s="56" cm="1">
        <f t="array" aca="1" ref="B30" ca="1">INDIRECT("'Asset Class Returns &amp; Weights'!A"&amp;$A30)</f>
        <v>44074</v>
      </c>
      <c r="C30" s="74" cm="1">
        <f t="array" aca="1" ref="C30" ca="1">INDIRECT("'Asset Class Returns &amp; Weights'!AA"&amp;$A30)</f>
        <v>1.4746501612318974</v>
      </c>
      <c r="D30" s="4">
        <f t="shared" ca="1" si="1"/>
        <v>1.0147465016123189</v>
      </c>
      <c r="E30" s="4">
        <f t="shared" ca="1" si="5"/>
        <v>1.1730486583044435</v>
      </c>
      <c r="F30" s="60">
        <f ca="1">'Asset Class Returns &amp; Weights'!$G$14*'(Bootstrap Simulation)'!E30</f>
        <v>176.63209352734043</v>
      </c>
      <c r="G30" s="74" cm="1">
        <f t="array" aca="1" ref="G30" ca="1">INDIRECT("'Asset Class Returns &amp; Weights'!AI"&amp;$A30)</f>
        <v>-0.16987500000000003</v>
      </c>
      <c r="H30" s="4">
        <f t="shared" ca="1" si="2"/>
        <v>0.99830125000000003</v>
      </c>
      <c r="I30" s="4">
        <f t="shared" ca="1" si="6"/>
        <v>1.0005499625933667</v>
      </c>
      <c r="J30" s="60">
        <f ca="1">'Asset Class Returns &amp; Weights'!$G$15*'(Bootstrap Simulation)'!I30</f>
        <v>150.84472927966229</v>
      </c>
      <c r="K30" s="63">
        <f t="shared" ca="1" si="3"/>
        <v>1.1709530347584702</v>
      </c>
      <c r="L30" s="58">
        <f t="shared" ca="1" si="4"/>
        <v>25.787364247678141</v>
      </c>
      <c r="N30">
        <f t="shared" si="0"/>
        <v>29</v>
      </c>
      <c r="O30" s="63">
        <v>2.171553571112097</v>
      </c>
      <c r="P30" s="62">
        <v>174.60570640511659</v>
      </c>
    </row>
    <row r="31" spans="1:16" x14ac:dyDescent="0.2">
      <c r="A31" s="39">
        <f ca="1">RANDBETWEEN(ROW('Asset Class Returns &amp; Weights'!$A$23),ROW('Asset Class Returns &amp; Weights'!$A$166))</f>
        <v>102</v>
      </c>
      <c r="B31" s="56" cm="1">
        <f t="array" aca="1" ref="B31" ca="1">INDIRECT("'Asset Class Returns &amp; Weights'!A"&amp;$A31)</f>
        <v>44074</v>
      </c>
      <c r="C31" s="74" cm="1">
        <f t="array" aca="1" ref="C31" ca="1">INDIRECT("'Asset Class Returns &amp; Weights'!AA"&amp;$A31)</f>
        <v>1.4746501612318974</v>
      </c>
      <c r="D31" s="4">
        <f t="shared" ca="1" si="1"/>
        <v>1.0147465016123189</v>
      </c>
      <c r="E31" s="4">
        <f t="shared" ca="1" si="5"/>
        <v>1.1903470222354586</v>
      </c>
      <c r="F31" s="60">
        <f ca="1">'Asset Class Returns &amp; Weights'!$G$14*'(Bootstrap Simulation)'!E31</f>
        <v>179.23679897932863</v>
      </c>
      <c r="G31" s="74" cm="1">
        <f t="array" aca="1" ref="G31" ca="1">INDIRECT("'Asset Class Returns &amp; Weights'!AI"&amp;$A31)</f>
        <v>-0.16987500000000003</v>
      </c>
      <c r="H31" s="4">
        <f t="shared" ca="1" si="2"/>
        <v>0.99830125000000003</v>
      </c>
      <c r="I31" s="4">
        <f t="shared" ca="1" si="6"/>
        <v>0.9988502783444112</v>
      </c>
      <c r="J31" s="60">
        <f ca="1">'Asset Class Returns &amp; Weights'!$G$15*'(Bootstrap Simulation)'!I31</f>
        <v>150.58848179579846</v>
      </c>
      <c r="K31" s="63">
        <f t="shared" ca="1" si="3"/>
        <v>1.1902424198842643</v>
      </c>
      <c r="L31" s="58">
        <f t="shared" ca="1" si="4"/>
        <v>28.648317183530168</v>
      </c>
      <c r="N31">
        <f t="shared" si="0"/>
        <v>30</v>
      </c>
      <c r="O31" s="63">
        <v>1.4984748904276248</v>
      </c>
      <c r="P31" s="62">
        <v>73.195056303230388</v>
      </c>
    </row>
    <row r="32" spans="1:16" x14ac:dyDescent="0.2">
      <c r="A32" s="39">
        <f ca="1">RANDBETWEEN(ROW('Asset Class Returns &amp; Weights'!$A$23),ROW('Asset Class Returns &amp; Weights'!$A$166))</f>
        <v>77</v>
      </c>
      <c r="B32" s="56" cm="1">
        <f t="array" aca="1" ref="B32" ca="1">INDIRECT("'Asset Class Returns &amp; Weights'!A"&amp;$A32)</f>
        <v>43100</v>
      </c>
      <c r="C32" s="74" cm="1">
        <f t="array" aca="1" ref="C32" ca="1">INDIRECT("'Asset Class Returns &amp; Weights'!AA"&amp;$A32)</f>
        <v>2.1937669383125291</v>
      </c>
      <c r="D32" s="4">
        <f t="shared" ca="1" si="1"/>
        <v>1.0219376693831252</v>
      </c>
      <c r="E32" s="4">
        <f t="shared" ca="1" si="5"/>
        <v>1.2164604616604477</v>
      </c>
      <c r="F32" s="60">
        <f ca="1">'Asset Class Returns &amp; Weights'!$G$14*'(Bootstrap Simulation)'!E32</f>
        <v>183.16883661662681</v>
      </c>
      <c r="G32" s="74" cm="1">
        <f t="array" aca="1" ref="G32" ca="1">INDIRECT("'Asset Class Returns &amp; Weights'!AI"&amp;$A32)</f>
        <v>-9.4944444444444456E-2</v>
      </c>
      <c r="H32" s="4">
        <f t="shared" ca="1" si="2"/>
        <v>0.99905055555555555</v>
      </c>
      <c r="I32" s="4">
        <f t="shared" ca="1" si="6"/>
        <v>0.99790192549680534</v>
      </c>
      <c r="J32" s="60">
        <f ca="1">'Asset Class Returns &amp; Weights'!$G$15*'(Bootstrap Simulation)'!I32</f>
        <v>150.4455063983601</v>
      </c>
      <c r="K32" s="63">
        <f t="shared" ca="1" si="3"/>
        <v>1.217509522229395</v>
      </c>
      <c r="L32" s="58">
        <f t="shared" ca="1" si="4"/>
        <v>32.72333021826671</v>
      </c>
      <c r="N32">
        <f t="shared" si="0"/>
        <v>31</v>
      </c>
      <c r="O32" s="63">
        <v>1.5052169248461125</v>
      </c>
      <c r="P32" s="62">
        <v>73.608420599400262</v>
      </c>
    </row>
    <row r="33" spans="1:16" x14ac:dyDescent="0.2">
      <c r="A33" s="39">
        <f ca="1">RANDBETWEEN(ROW('Asset Class Returns &amp; Weights'!$A$23),ROW('Asset Class Returns &amp; Weights'!$A$166))</f>
        <v>81</v>
      </c>
      <c r="B33" s="56" cm="1">
        <f t="array" aca="1" ref="B33" ca="1">INDIRECT("'Asset Class Returns &amp; Weights'!A"&amp;$A33)</f>
        <v>43220</v>
      </c>
      <c r="C33" s="74" cm="1">
        <f t="array" aca="1" ref="C33" ca="1">INDIRECT("'Asset Class Returns &amp; Weights'!AA"&amp;$A33)</f>
        <v>2.4711222871909655</v>
      </c>
      <c r="D33" s="4">
        <f t="shared" ca="1" si="1"/>
        <v>1.0247112228719097</v>
      </c>
      <c r="E33" s="4">
        <f t="shared" ca="1" si="5"/>
        <v>1.2465206872434054</v>
      </c>
      <c r="F33" s="60">
        <f ca="1">'Asset Class Returns &amp; Weights'!$G$14*'(Bootstrap Simulation)'!E33</f>
        <v>187.69516256144871</v>
      </c>
      <c r="G33" s="74" cm="1">
        <f t="array" aca="1" ref="G33" ca="1">INDIRECT("'Asset Class Returns &amp; Weights'!AI"&amp;$A33)</f>
        <v>-7.9541666666666677E-2</v>
      </c>
      <c r="H33" s="4">
        <f t="shared" ca="1" si="2"/>
        <v>0.99920458333333328</v>
      </c>
      <c r="I33" s="4">
        <f t="shared" ca="1" si="6"/>
        <v>0.99710817767356641</v>
      </c>
      <c r="J33" s="60">
        <f ca="1">'Asset Class Returns &amp; Weights'!$G$15*'(Bootstrap Simulation)'!I33</f>
        <v>150.32583953514575</v>
      </c>
      <c r="K33" s="63">
        <f t="shared" ca="1" si="3"/>
        <v>1.2485888197389121</v>
      </c>
      <c r="L33" s="58">
        <f t="shared" ca="1" si="4"/>
        <v>37.369323026302965</v>
      </c>
      <c r="N33">
        <f t="shared" si="0"/>
        <v>32</v>
      </c>
      <c r="O33" s="63">
        <v>2.1808636377930872</v>
      </c>
      <c r="P33" s="62">
        <v>172.0861502843299</v>
      </c>
    </row>
    <row r="34" spans="1:16" x14ac:dyDescent="0.2">
      <c r="A34" s="39">
        <f ca="1">RANDBETWEEN(ROW('Asset Class Returns &amp; Weights'!$A$23),ROW('Asset Class Returns &amp; Weights'!$A$166))</f>
        <v>30</v>
      </c>
      <c r="B34" s="56" cm="1">
        <f t="array" aca="1" ref="B34" ca="1">INDIRECT("'Asset Class Returns &amp; Weights'!A"&amp;$A34)</f>
        <v>41670</v>
      </c>
      <c r="C34" s="74" cm="1">
        <f t="array" aca="1" ref="C34" ca="1">INDIRECT("'Asset Class Returns &amp; Weights'!AA"&amp;$A34)</f>
        <v>-0.84486748191592764</v>
      </c>
      <c r="D34" s="4">
        <f t="shared" ca="1" si="1"/>
        <v>0.99155132518084077</v>
      </c>
      <c r="E34" s="4">
        <f t="shared" ca="1" si="5"/>
        <v>1.235989239301531</v>
      </c>
      <c r="F34" s="60">
        <f ca="1">'Asset Class Returns &amp; Weights'!$G$14*'(Bootstrap Simulation)'!E34</f>
        <v>186.10938716783781</v>
      </c>
      <c r="G34" s="74" cm="1">
        <f t="array" aca="1" ref="G34" ca="1">INDIRECT("'Asset Class Returns &amp; Weights'!AI"&amp;$A34)</f>
        <v>2.2194444444444444E-2</v>
      </c>
      <c r="H34" s="4">
        <f t="shared" ca="1" si="2"/>
        <v>1.0002219444444445</v>
      </c>
      <c r="I34" s="4">
        <f t="shared" ca="1" si="6"/>
        <v>0.99732948029411117</v>
      </c>
      <c r="J34" s="60">
        <f ca="1">'Asset Class Returns &amp; Weights'!$G$15*'(Bootstrap Simulation)'!I34</f>
        <v>150.35920352008702</v>
      </c>
      <c r="K34" s="63">
        <f t="shared" ca="1" si="3"/>
        <v>1.2377651837120485</v>
      </c>
      <c r="L34" s="58">
        <f t="shared" ca="1" si="4"/>
        <v>35.750183647750788</v>
      </c>
      <c r="N34">
        <f t="shared" si="0"/>
        <v>33</v>
      </c>
      <c r="O34" s="63">
        <v>1.4497536743086594</v>
      </c>
      <c r="P34" s="62">
        <v>65.757182522039898</v>
      </c>
    </row>
    <row r="35" spans="1:16" x14ac:dyDescent="0.2">
      <c r="A35" s="39">
        <f ca="1">RANDBETWEEN(ROW('Asset Class Returns &amp; Weights'!$A$23),ROW('Asset Class Returns &amp; Weights'!$A$166))</f>
        <v>105</v>
      </c>
      <c r="B35" s="56" cm="1">
        <f t="array" aca="1" ref="B35" ca="1">INDIRECT("'Asset Class Returns &amp; Weights'!A"&amp;$A35)</f>
        <v>44165</v>
      </c>
      <c r="C35" s="74" cm="1">
        <f t="array" aca="1" ref="C35" ca="1">INDIRECT("'Asset Class Returns &amp; Weights'!AA"&amp;$A35)</f>
        <v>5.5867022964527608</v>
      </c>
      <c r="D35" s="4">
        <f t="shared" ca="1" si="1"/>
        <v>1.0558670229645275</v>
      </c>
      <c r="E35" s="4">
        <f t="shared" ca="1" si="5"/>
        <v>1.3050402785174986</v>
      </c>
      <c r="F35" s="60">
        <f ca="1">'Asset Class Returns &amp; Weights'!$G$14*'(Bootstrap Simulation)'!E35</f>
        <v>196.50676457465755</v>
      </c>
      <c r="G35" s="74" cm="1">
        <f t="array" aca="1" ref="G35" ca="1">INDIRECT("'Asset Class Returns &amp; Weights'!AI"&amp;$A35)</f>
        <v>-0.16850000000000001</v>
      </c>
      <c r="H35" s="4">
        <f t="shared" ca="1" si="2"/>
        <v>0.99831499999999995</v>
      </c>
      <c r="I35" s="4">
        <f t="shared" ca="1" si="6"/>
        <v>0.99564898011981551</v>
      </c>
      <c r="J35" s="60">
        <f ca="1">'Asset Class Returns &amp; Weights'!$G$15*'(Bootstrap Simulation)'!I35</f>
        <v>150.10584826215566</v>
      </c>
      <c r="K35" s="63">
        <f t="shared" ca="1" si="3"/>
        <v>1.3091213090609501</v>
      </c>
      <c r="L35" s="58">
        <f t="shared" ca="1" si="4"/>
        <v>46.400916312501892</v>
      </c>
      <c r="N35">
        <f t="shared" si="0"/>
        <v>34</v>
      </c>
      <c r="O35" s="63">
        <v>2.504622061346593</v>
      </c>
      <c r="P35" s="62">
        <v>217.20374815161767</v>
      </c>
    </row>
    <row r="36" spans="1:16" x14ac:dyDescent="0.2">
      <c r="A36" s="39">
        <f ca="1">RANDBETWEEN(ROW('Asset Class Returns &amp; Weights'!$A$23),ROW('Asset Class Returns &amp; Weights'!$A$166))</f>
        <v>40</v>
      </c>
      <c r="B36" s="56" cm="1">
        <f t="array" aca="1" ref="B36" ca="1">INDIRECT("'Asset Class Returns &amp; Weights'!A"&amp;$A36)</f>
        <v>41973</v>
      </c>
      <c r="C36" s="74" cm="1">
        <f t="array" aca="1" ref="C36" ca="1">INDIRECT("'Asset Class Returns &amp; Weights'!AA"&amp;$A36)</f>
        <v>2.6535892327475388</v>
      </c>
      <c r="D36" s="4">
        <f t="shared" ca="1" si="1"/>
        <v>1.0265358923274754</v>
      </c>
      <c r="E36" s="4">
        <f t="shared" ca="1" si="5"/>
        <v>1.3396706868312576</v>
      </c>
      <c r="F36" s="60">
        <f ca="1">'Asset Class Returns &amp; Weights'!$G$14*'(Bootstrap Simulation)'!E36</f>
        <v>201.72124692103125</v>
      </c>
      <c r="G36" s="74" cm="1">
        <f t="array" aca="1" ref="G36" ca="1">INDIRECT("'Asset Class Returns &amp; Weights'!AI"&amp;$A36)</f>
        <v>-2.2805555555555558E-2</v>
      </c>
      <c r="H36" s="4">
        <f t="shared" ca="1" si="2"/>
        <v>0.99977194444444439</v>
      </c>
      <c r="I36" s="4">
        <f t="shared" ca="1" si="6"/>
        <v>0.99542191683851589</v>
      </c>
      <c r="J36" s="60">
        <f ca="1">'Asset Class Returns &amp; Weights'!$G$15*'(Bootstrap Simulation)'!I36</f>
        <v>150.07161578953807</v>
      </c>
      <c r="K36" s="63">
        <f t="shared" ca="1" si="3"/>
        <v>1.3441665558124405</v>
      </c>
      <c r="L36" s="58">
        <f t="shared" ca="1" si="4"/>
        <v>51.64963113149318</v>
      </c>
      <c r="N36">
        <f t="shared" si="0"/>
        <v>35</v>
      </c>
      <c r="O36" s="63">
        <v>1.4396410280158372</v>
      </c>
      <c r="P36" s="62">
        <v>66.068184873490623</v>
      </c>
    </row>
    <row r="37" spans="1:16" x14ac:dyDescent="0.2">
      <c r="A37" s="39">
        <f ca="1">RANDBETWEEN(ROW('Asset Class Returns &amp; Weights'!$A$23),ROW('Asset Class Returns &amp; Weights'!$A$166))</f>
        <v>61</v>
      </c>
      <c r="B37" s="56" cm="1">
        <f t="array" aca="1" ref="B37" ca="1">INDIRECT("'Asset Class Returns &amp; Weights'!A"&amp;$A37)</f>
        <v>42613</v>
      </c>
      <c r="C37" s="74" cm="1">
        <f t="array" aca="1" ref="C37" ca="1">INDIRECT("'Asset Class Returns &amp; Weights'!AA"&amp;$A37)</f>
        <v>1.5752476292840976</v>
      </c>
      <c r="D37" s="4">
        <f t="shared" ca="1" si="1"/>
        <v>1.0157524762928409</v>
      </c>
      <c r="E37" s="4">
        <f t="shared" ca="1" si="5"/>
        <v>1.3607738175657809</v>
      </c>
      <c r="F37" s="60">
        <f ca="1">'Asset Class Returns &amp; Weights'!$G$14*'(Bootstrap Simulation)'!E37</f>
        <v>204.89885608091711</v>
      </c>
      <c r="G37" s="74" cm="1">
        <f t="array" aca="1" ref="G37" ca="1">INDIRECT("'Asset Class Returns &amp; Weights'!AI"&amp;$A37)</f>
        <v>-0.12247222222222223</v>
      </c>
      <c r="H37" s="4">
        <f t="shared" ca="1" si="2"/>
        <v>0.99877527777777775</v>
      </c>
      <c r="I37" s="4">
        <f t="shared" ca="1" si="6"/>
        <v>0.99420280149647666</v>
      </c>
      <c r="J37" s="60">
        <f ca="1">'Asset Class Returns &amp; Weights'!$G$15*'(Bootstrap Simulation)'!I37</f>
        <v>149.88781974675584</v>
      </c>
      <c r="K37" s="63">
        <f t="shared" ca="1" si="3"/>
        <v>1.3670147209233252</v>
      </c>
      <c r="L37" s="58">
        <f t="shared" ca="1" si="4"/>
        <v>55.011036334161275</v>
      </c>
      <c r="N37">
        <f t="shared" si="0"/>
        <v>36</v>
      </c>
      <c r="O37" s="63">
        <v>2.3872767896882832</v>
      </c>
      <c r="P37" s="62">
        <v>203.09306881363267</v>
      </c>
    </row>
    <row r="38" spans="1:16" x14ac:dyDescent="0.2">
      <c r="A38" s="39">
        <f ca="1">RANDBETWEEN(ROW('Asset Class Returns &amp; Weights'!$A$23),ROW('Asset Class Returns &amp; Weights'!$A$166))</f>
        <v>36</v>
      </c>
      <c r="B38" s="56" cm="1">
        <f t="array" aca="1" ref="B38" ca="1">INDIRECT("'Asset Class Returns &amp; Weights'!A"&amp;$A38)</f>
        <v>41851</v>
      </c>
      <c r="C38" s="74" cm="1">
        <f t="array" aca="1" ref="C38" ca="1">INDIRECT("'Asset Class Returns &amp; Weights'!AA"&amp;$A38)</f>
        <v>2.1744398396726858E-3</v>
      </c>
      <c r="D38" s="4">
        <f t="shared" ca="1" si="1"/>
        <v>1.0000217443983968</v>
      </c>
      <c r="E38" s="4">
        <f t="shared" ca="1" si="5"/>
        <v>1.360803406773798</v>
      </c>
      <c r="F38" s="60">
        <f ca="1">'Asset Class Returns &amp; Weights'!$G$14*'(Bootstrap Simulation)'!E38</f>
        <v>204.90331148327479</v>
      </c>
      <c r="G38" s="74" cm="1">
        <f t="array" aca="1" ref="G38" ca="1">INDIRECT("'Asset Class Returns &amp; Weights'!AI"&amp;$A38)</f>
        <v>2.1749999999999992E-2</v>
      </c>
      <c r="H38" s="4">
        <f t="shared" ca="1" si="2"/>
        <v>1.0002175</v>
      </c>
      <c r="I38" s="4">
        <f t="shared" ca="1" si="6"/>
        <v>0.99441904060580211</v>
      </c>
      <c r="J38" s="60">
        <f ca="1">'Asset Class Returns &amp; Weights'!$G$15*'(Bootstrap Simulation)'!I38</f>
        <v>149.92042034755073</v>
      </c>
      <c r="K38" s="63">
        <f t="shared" ca="1" si="3"/>
        <v>1.366747178324746</v>
      </c>
      <c r="L38" s="58">
        <f t="shared" ca="1" si="4"/>
        <v>54.98289113572406</v>
      </c>
      <c r="N38">
        <f t="shared" si="0"/>
        <v>37</v>
      </c>
      <c r="O38" s="63">
        <v>1.1082815572110838</v>
      </c>
      <c r="P38" s="62">
        <v>15.968164486714869</v>
      </c>
    </row>
    <row r="39" spans="1:16" x14ac:dyDescent="0.2">
      <c r="A39" s="39">
        <f ca="1">RANDBETWEEN(ROW('Asset Class Returns &amp; Weights'!$A$23),ROW('Asset Class Returns &amp; Weights'!$A$166))</f>
        <v>90</v>
      </c>
      <c r="B39" s="56" cm="1">
        <f t="array" aca="1" ref="B39" ca="1">INDIRECT("'Asset Class Returns &amp; Weights'!A"&amp;$A39)</f>
        <v>43708</v>
      </c>
      <c r="C39" s="74" cm="1">
        <f t="array" aca="1" ref="C39" ca="1">INDIRECT("'Asset Class Returns &amp; Weights'!AA"&amp;$A39)</f>
        <v>-1.2793531068196276</v>
      </c>
      <c r="D39" s="4">
        <f t="shared" ca="1" si="1"/>
        <v>0.98720646893180375</v>
      </c>
      <c r="E39" s="4">
        <f t="shared" ca="1" si="5"/>
        <v>1.34339392611153</v>
      </c>
      <c r="F39" s="60">
        <f ca="1">'Asset Class Returns &amp; Weights'!$G$14*'(Bootstrap Simulation)'!E39</f>
        <v>202.28187460183719</v>
      </c>
      <c r="G39" s="74" cm="1">
        <f t="array" aca="1" ref="G39" ca="1">INDIRECT("'Asset Class Returns &amp; Weights'!AI"&amp;$A39)</f>
        <v>-0.16530555555555557</v>
      </c>
      <c r="H39" s="4">
        <f t="shared" ca="1" si="2"/>
        <v>0.9983469444444445</v>
      </c>
      <c r="I39" s="4">
        <f t="shared" ca="1" si="6"/>
        <v>0.99277521068617847</v>
      </c>
      <c r="J39" s="60">
        <f ca="1">'Asset Class Returns &amp; Weights'!$G$15*'(Bootstrap Simulation)'!I39</f>
        <v>149.67259356380401</v>
      </c>
      <c r="K39" s="63">
        <f t="shared" ca="1" si="3"/>
        <v>1.3514957533999459</v>
      </c>
      <c r="L39" s="58">
        <f t="shared" ca="1" si="4"/>
        <v>52.609281038033174</v>
      </c>
      <c r="N39">
        <f t="shared" si="0"/>
        <v>38</v>
      </c>
      <c r="O39" s="63">
        <v>1.5948682062140438</v>
      </c>
      <c r="P39" s="62">
        <v>87.124211441647361</v>
      </c>
    </row>
    <row r="40" spans="1:16" x14ac:dyDescent="0.2">
      <c r="A40" s="39">
        <f ca="1">RANDBETWEEN(ROW('Asset Class Returns &amp; Weights'!$A$23),ROW('Asset Class Returns &amp; Weights'!$A$166))</f>
        <v>144</v>
      </c>
      <c r="B40" s="56" cm="1">
        <f t="array" aca="1" ref="B40" ca="1">INDIRECT("'Asset Class Returns &amp; Weights'!A"&amp;$A40)</f>
        <v>45351</v>
      </c>
      <c r="C40" s="74" cm="1">
        <f t="array" aca="1" ref="C40" ca="1">INDIRECT("'Asset Class Returns &amp; Weights'!AA"&amp;$A40)</f>
        <v>0.8173714702258239</v>
      </c>
      <c r="D40" s="4">
        <f t="shared" ca="1" si="1"/>
        <v>1.0081737147022583</v>
      </c>
      <c r="E40" s="4">
        <f t="shared" ca="1" si="5"/>
        <v>1.3543744447963122</v>
      </c>
      <c r="F40" s="60">
        <f ca="1">'Asset Class Returns &amp; Weights'!$G$14*'(Bootstrap Simulation)'!E40</f>
        <v>203.9352689342706</v>
      </c>
      <c r="G40" s="74" cm="1">
        <f t="array" aca="1" ref="G40" ca="1">INDIRECT("'Asset Class Returns &amp; Weights'!AI"&amp;$A40)</f>
        <v>0.13475000000000001</v>
      </c>
      <c r="H40" s="4">
        <f t="shared" ca="1" si="2"/>
        <v>1.0013475000000001</v>
      </c>
      <c r="I40" s="4">
        <f t="shared" ca="1" si="6"/>
        <v>0.99411297528257814</v>
      </c>
      <c r="J40" s="60">
        <f ca="1">'Asset Class Returns &amp; Weights'!$G$15*'(Bootstrap Simulation)'!I40</f>
        <v>149.87427738363124</v>
      </c>
      <c r="K40" s="63">
        <f t="shared" ca="1" si="3"/>
        <v>1.3607089388144982</v>
      </c>
      <c r="L40" s="58">
        <f t="shared" ca="1" si="4"/>
        <v>54.060991550639358</v>
      </c>
      <c r="N40">
        <f t="shared" si="0"/>
        <v>39</v>
      </c>
      <c r="O40" s="63">
        <v>1.7105206755094222</v>
      </c>
      <c r="P40" s="62">
        <v>104.77461689900724</v>
      </c>
    </row>
    <row r="41" spans="1:16" x14ac:dyDescent="0.2">
      <c r="A41" s="39">
        <f ca="1">RANDBETWEEN(ROW('Asset Class Returns &amp; Weights'!$A$23),ROW('Asset Class Returns &amp; Weights'!$A$166))</f>
        <v>40</v>
      </c>
      <c r="B41" s="56" cm="1">
        <f t="array" aca="1" ref="B41" ca="1">INDIRECT("'Asset Class Returns &amp; Weights'!A"&amp;$A41)</f>
        <v>41973</v>
      </c>
      <c r="C41" s="74" cm="1">
        <f t="array" aca="1" ref="C41" ca="1">INDIRECT("'Asset Class Returns &amp; Weights'!AA"&amp;$A41)</f>
        <v>2.6535892327475388</v>
      </c>
      <c r="D41" s="4">
        <f t="shared" ca="1" si="1"/>
        <v>1.0265358923274754</v>
      </c>
      <c r="E41" s="4">
        <f t="shared" ca="1" si="5"/>
        <v>1.3903139792345114</v>
      </c>
      <c r="F41" s="60">
        <f ca="1">'Asset Class Returns &amp; Weights'!$G$14*'(Bootstrap Simulation)'!E41</f>
        <v>209.34687327248514</v>
      </c>
      <c r="G41" s="74" cm="1">
        <f t="array" aca="1" ref="G41" ca="1">INDIRECT("'Asset Class Returns &amp; Weights'!AI"&amp;$A41)</f>
        <v>-2.2805555555555558E-2</v>
      </c>
      <c r="H41" s="4">
        <f t="shared" ca="1" si="2"/>
        <v>0.99977194444444439</v>
      </c>
      <c r="I41" s="4">
        <f t="shared" ca="1" si="6"/>
        <v>0.99388626229571508</v>
      </c>
      <c r="J41" s="60">
        <f ca="1">'Asset Class Returns &amp; Weights'!$G$15*'(Bootstrap Simulation)'!I41</f>
        <v>149.84009772203902</v>
      </c>
      <c r="K41" s="63">
        <f t="shared" ca="1" si="3"/>
        <v>1.3971351891456598</v>
      </c>
      <c r="L41" s="58">
        <f t="shared" ca="1" si="4"/>
        <v>59.506775550446122</v>
      </c>
      <c r="N41">
        <f t="shared" si="0"/>
        <v>40</v>
      </c>
      <c r="O41" s="63">
        <v>1.5213560127569845</v>
      </c>
      <c r="P41" s="62">
        <v>76.274052794207563</v>
      </c>
    </row>
    <row r="42" spans="1:16" x14ac:dyDescent="0.2">
      <c r="A42" s="39">
        <f ca="1">RANDBETWEEN(ROW('Asset Class Returns &amp; Weights'!$A$23),ROW('Asset Class Returns &amp; Weights'!$A$166))</f>
        <v>67</v>
      </c>
      <c r="B42" s="56" cm="1">
        <f t="array" aca="1" ref="B42" ca="1">INDIRECT("'Asset Class Returns &amp; Weights'!A"&amp;$A42)</f>
        <v>42794</v>
      </c>
      <c r="C42" s="74" cm="1">
        <f t="array" aca="1" ref="C42" ca="1">INDIRECT("'Asset Class Returns &amp; Weights'!AA"&amp;$A42)</f>
        <v>2.5257042870557784</v>
      </c>
      <c r="D42" s="4">
        <f t="shared" ca="1" si="1"/>
        <v>1.0252570428705579</v>
      </c>
      <c r="E42" s="4">
        <f t="shared" ca="1" si="5"/>
        <v>1.4254291990115733</v>
      </c>
      <c r="F42" s="60">
        <f ca="1">'Asset Class Returns &amp; Weights'!$G$14*'(Bootstrap Simulation)'!E42</f>
        <v>214.63435622554553</v>
      </c>
      <c r="G42" s="74" cm="1">
        <f t="array" aca="1" ref="G42" ca="1">INDIRECT("'Asset Class Returns &amp; Weights'!AI"&amp;$A42)</f>
        <v>-0.11279166666666668</v>
      </c>
      <c r="H42" s="4">
        <f t="shared" ca="1" si="2"/>
        <v>0.99887208333333333</v>
      </c>
      <c r="I42" s="4">
        <f t="shared" ca="1" si="6"/>
        <v>0.99276524141570066</v>
      </c>
      <c r="J42" s="60">
        <f ca="1">'Asset Class Returns &amp; Weights'!$G$15*'(Bootstrap Simulation)'!I42</f>
        <v>149.67109057848336</v>
      </c>
      <c r="K42" s="63">
        <f t="shared" ca="1" si="3"/>
        <v>1.4340401703226533</v>
      </c>
      <c r="L42" s="58">
        <f t="shared" ca="1" si="4"/>
        <v>64.963265647062173</v>
      </c>
      <c r="N42">
        <f t="shared" si="0"/>
        <v>41</v>
      </c>
      <c r="O42" s="63">
        <v>1.2751218882814424</v>
      </c>
      <c r="P42" s="62">
        <v>39.952474132005619</v>
      </c>
    </row>
    <row r="43" spans="1:16" x14ac:dyDescent="0.2">
      <c r="A43" s="39">
        <f ca="1">RANDBETWEEN(ROW('Asset Class Returns &amp; Weights'!$A$23),ROW('Asset Class Returns &amp; Weights'!$A$166))</f>
        <v>47</v>
      </c>
      <c r="B43" s="56" cm="1">
        <f t="array" aca="1" ref="B43" ca="1">INDIRECT("'Asset Class Returns &amp; Weights'!A"&amp;$A43)</f>
        <v>42185</v>
      </c>
      <c r="C43" s="74" cm="1">
        <f t="array" aca="1" ref="C43" ca="1">INDIRECT("'Asset Class Returns &amp; Weights'!AA"&amp;$A43)</f>
        <v>-3.3442885744124804</v>
      </c>
      <c r="D43" s="4">
        <f t="shared" ca="1" si="1"/>
        <v>0.9665571142558752</v>
      </c>
      <c r="E43" s="4">
        <f t="shared" ca="1" si="5"/>
        <v>1.3777587331726899</v>
      </c>
      <c r="F43" s="60">
        <f ca="1">'Asset Class Returns &amp; Weights'!$G$14*'(Bootstrap Simulation)'!E43</f>
        <v>207.45636397353081</v>
      </c>
      <c r="G43" s="74" cm="1">
        <f t="array" aca="1" ref="G43" ca="1">INDIRECT("'Asset Class Returns &amp; Weights'!AI"&amp;$A43)</f>
        <v>-2.1027777777777784E-2</v>
      </c>
      <c r="H43" s="4">
        <f t="shared" ca="1" si="2"/>
        <v>0.99978972222222218</v>
      </c>
      <c r="I43" s="4">
        <f t="shared" ca="1" si="6"/>
        <v>0.99255648494688076</v>
      </c>
      <c r="J43" s="60">
        <f ca="1">'Asset Class Returns &amp; Weights'!$G$15*'(Bootstrap Simulation)'!I43</f>
        <v>149.63961807415896</v>
      </c>
      <c r="K43" s="63">
        <f t="shared" ca="1" si="3"/>
        <v>1.3863732522407188</v>
      </c>
      <c r="L43" s="58">
        <f t="shared" ca="1" si="4"/>
        <v>57.816745899371853</v>
      </c>
      <c r="N43">
        <f t="shared" si="0"/>
        <v>42</v>
      </c>
      <c r="O43" s="63">
        <v>1.9452400571753594</v>
      </c>
      <c r="P43" s="62">
        <v>137.93618924101062</v>
      </c>
    </row>
    <row r="44" spans="1:16" x14ac:dyDescent="0.2">
      <c r="A44" s="39">
        <f ca="1">RANDBETWEEN(ROW('Asset Class Returns &amp; Weights'!$A$23),ROW('Asset Class Returns &amp; Weights'!$A$166))</f>
        <v>23</v>
      </c>
      <c r="B44" s="56" cm="1">
        <f t="array" aca="1" ref="B44" ca="1">INDIRECT("'Asset Class Returns &amp; Weights'!A"&amp;$A44)</f>
        <v>41455</v>
      </c>
      <c r="C44" s="74" cm="1">
        <f t="array" aca="1" ref="C44" ca="1">INDIRECT("'Asset Class Returns &amp; Weights'!AA"&amp;$A44)</f>
        <v>-3.1231512210139143</v>
      </c>
      <c r="D44" s="4">
        <f t="shared" ca="1" si="1"/>
        <v>0.96876848778986091</v>
      </c>
      <c r="E44" s="4">
        <f t="shared" ca="1" si="5"/>
        <v>1.3347292444749812</v>
      </c>
      <c r="F44" s="60">
        <f ca="1">'Asset Class Returns &amp; Weights'!$G$14*'(Bootstrap Simulation)'!E44</f>
        <v>200.97718800902041</v>
      </c>
      <c r="G44" s="74" cm="1">
        <f t="array" aca="1" ref="G44" ca="1">INDIRECT("'Asset Class Returns &amp; Weights'!AI"&amp;$A44)</f>
        <v>1.5152777777777774E-2</v>
      </c>
      <c r="H44" s="4">
        <f t="shared" ca="1" si="2"/>
        <v>1.0001515277777777</v>
      </c>
      <c r="I44" s="4">
        <f t="shared" ca="1" si="6"/>
        <v>0.99270688482536362</v>
      </c>
      <c r="J44" s="60">
        <f ca="1">'Asset Class Returns &amp; Weights'!$G$15*'(Bootstrap Simulation)'!I44</f>
        <v>149.66229263295324</v>
      </c>
      <c r="K44" s="63">
        <f t="shared" ca="1" si="3"/>
        <v>1.3428712367911999</v>
      </c>
      <c r="L44" s="58">
        <f t="shared" ca="1" si="4"/>
        <v>51.31489537606717</v>
      </c>
      <c r="N44">
        <f t="shared" si="0"/>
        <v>43</v>
      </c>
      <c r="O44" s="63">
        <v>2.0619932241466339</v>
      </c>
      <c r="P44" s="62">
        <v>155.1802075428686</v>
      </c>
    </row>
    <row r="45" spans="1:16" x14ac:dyDescent="0.2">
      <c r="A45" s="39">
        <f ca="1">RANDBETWEEN(ROW('Asset Class Returns &amp; Weights'!$A$23),ROW('Asset Class Returns &amp; Weights'!$A$166))</f>
        <v>164</v>
      </c>
      <c r="B45" s="56" cm="1">
        <f t="array" aca="1" ref="B45" ca="1">INDIRECT("'Asset Class Returns &amp; Weights'!A"&amp;$A45)</f>
        <v>45961</v>
      </c>
      <c r="C45" s="74" cm="1">
        <f t="array" aca="1" ref="C45" ca="1">INDIRECT("'Asset Class Returns &amp; Weights'!AA"&amp;$A45)</f>
        <v>2.6303236664701828</v>
      </c>
      <c r="D45" s="4">
        <f t="shared" ca="1" si="1"/>
        <v>1.0263032366647018</v>
      </c>
      <c r="E45" s="4">
        <f t="shared" ca="1" si="5"/>
        <v>1.3698369436757052</v>
      </c>
      <c r="F45" s="60">
        <f ca="1">'Asset Class Returns &amp; Weights'!$G$14*'(Bootstrap Simulation)'!E45</f>
        <v>206.26353854942795</v>
      </c>
      <c r="G45" s="74" cm="1">
        <f t="array" aca="1" ref="G45" ca="1">INDIRECT("'Asset Class Returns &amp; Weights'!AI"&amp;$A45)</f>
        <v>0.18706944444444445</v>
      </c>
      <c r="H45" s="4">
        <f t="shared" ca="1" si="2"/>
        <v>1.0018706944444444</v>
      </c>
      <c r="I45" s="4">
        <f t="shared" ca="1" si="6"/>
        <v>0.99456393607976812</v>
      </c>
      <c r="J45" s="60">
        <f ca="1">'Asset Class Returns &amp; Weights'!$G$15*'(Bootstrap Simulation)'!I45</f>
        <v>149.9422650523245</v>
      </c>
      <c r="K45" s="63">
        <f t="shared" ca="1" si="3"/>
        <v>1.3756197325513879</v>
      </c>
      <c r="L45" s="58">
        <f t="shared" ca="1" si="4"/>
        <v>56.321273497103448</v>
      </c>
      <c r="N45">
        <f t="shared" si="0"/>
        <v>44</v>
      </c>
      <c r="O45" s="63">
        <v>1.5268927021986614</v>
      </c>
      <c r="P45" s="62">
        <v>78.617266907805686</v>
      </c>
    </row>
    <row r="46" spans="1:16" x14ac:dyDescent="0.2">
      <c r="A46" s="39">
        <f ca="1">RANDBETWEEN(ROW('Asset Class Returns &amp; Weights'!$A$23),ROW('Asset Class Returns &amp; Weights'!$A$166))</f>
        <v>28</v>
      </c>
      <c r="B46" s="56" cm="1">
        <f t="array" aca="1" ref="B46" ca="1">INDIRECT("'Asset Class Returns &amp; Weights'!A"&amp;$A46)</f>
        <v>41608</v>
      </c>
      <c r="C46" s="74" cm="1">
        <f t="array" aca="1" ref="C46" ca="1">INDIRECT("'Asset Class Returns &amp; Weights'!AA"&amp;$A46)</f>
        <v>-0.40587403799491967</v>
      </c>
      <c r="D46" s="4">
        <f t="shared" ca="1" si="1"/>
        <v>0.99594125962005076</v>
      </c>
      <c r="E46" s="4">
        <f t="shared" ca="1" si="5"/>
        <v>1.3642771311584623</v>
      </c>
      <c r="F46" s="60">
        <f ca="1">'Asset Class Returns &amp; Weights'!$G$14*'(Bootstrap Simulation)'!E46</f>
        <v>205.42636839660616</v>
      </c>
      <c r="G46" s="74" cm="1">
        <f t="array" aca="1" ref="G46" ca="1">INDIRECT("'Asset Class Returns &amp; Weights'!AI"&amp;$A46)</f>
        <v>1.6305555555555545E-2</v>
      </c>
      <c r="H46" s="4">
        <f t="shared" ca="1" si="2"/>
        <v>1.0001630555555556</v>
      </c>
      <c r="I46" s="4">
        <f t="shared" ca="1" si="6"/>
        <v>0.99472610525490124</v>
      </c>
      <c r="J46" s="60">
        <f ca="1">'Asset Class Returns &amp; Weights'!$G$15*'(Bootstrap Simulation)'!I46</f>
        <v>149.96671397165389</v>
      </c>
      <c r="K46" s="63">
        <f t="shared" ca="1" si="3"/>
        <v>1.3698130935604487</v>
      </c>
      <c r="L46" s="58">
        <f t="shared" ca="1" si="4"/>
        <v>55.459654424952276</v>
      </c>
      <c r="N46">
        <f t="shared" si="0"/>
        <v>45</v>
      </c>
      <c r="O46" s="63">
        <v>1.9347702208424113</v>
      </c>
      <c r="P46" s="62">
        <v>137.17737258529789</v>
      </c>
    </row>
    <row r="47" spans="1:16" x14ac:dyDescent="0.2">
      <c r="A47" s="39">
        <f ca="1">RANDBETWEEN(ROW('Asset Class Returns &amp; Weights'!$A$23),ROW('Asset Class Returns &amp; Weights'!$A$166))</f>
        <v>39</v>
      </c>
      <c r="B47" s="56" cm="1">
        <f t="array" aca="1" ref="B47" ca="1">INDIRECT("'Asset Class Returns &amp; Weights'!A"&amp;$A47)</f>
        <v>41943</v>
      </c>
      <c r="C47" s="74" cm="1">
        <f t="array" aca="1" ref="C47" ca="1">INDIRECT("'Asset Class Returns &amp; Weights'!AA"&amp;$A47)</f>
        <v>0.54311279831289316</v>
      </c>
      <c r="D47" s="4">
        <f t="shared" ca="1" si="1"/>
        <v>1.0054311279831289</v>
      </c>
      <c r="E47" s="4">
        <f t="shared" ca="1" si="5"/>
        <v>1.3716866948622399</v>
      </c>
      <c r="F47" s="60">
        <f ca="1">'Asset Class Returns &amp; Weights'!$G$14*'(Bootstrap Simulation)'!E47</f>
        <v>206.54206529447751</v>
      </c>
      <c r="G47" s="74" cm="1">
        <f t="array" aca="1" ref="G47" ca="1">INDIRECT("'Asset Class Returns &amp; Weights'!AI"&amp;$A47)</f>
        <v>-1.2916666666666667E-3</v>
      </c>
      <c r="H47" s="4">
        <f t="shared" ca="1" si="2"/>
        <v>0.9999870833333333</v>
      </c>
      <c r="I47" s="4">
        <f t="shared" ca="1" si="6"/>
        <v>0.99471325670937505</v>
      </c>
      <c r="J47" s="60">
        <f ca="1">'Asset Class Returns &amp; Weights'!$G$15*'(Bootstrap Simulation)'!I47</f>
        <v>149.96477690159841</v>
      </c>
      <c r="K47" s="63">
        <f t="shared" ca="1" si="3"/>
        <v>1.3772705135286742</v>
      </c>
      <c r="L47" s="58">
        <f t="shared" ca="1" si="4"/>
        <v>56.577288392879098</v>
      </c>
      <c r="N47">
        <f t="shared" si="0"/>
        <v>46</v>
      </c>
      <c r="O47" s="63">
        <v>1.8677682354734388</v>
      </c>
      <c r="P47" s="62">
        <v>129.44385663334705</v>
      </c>
    </row>
    <row r="48" spans="1:16" x14ac:dyDescent="0.2">
      <c r="A48" s="39">
        <f ca="1">RANDBETWEEN(ROW('Asset Class Returns &amp; Weights'!$A$23),ROW('Asset Class Returns &amp; Weights'!$A$166))</f>
        <v>148</v>
      </c>
      <c r="B48" s="56" cm="1">
        <f t="array" aca="1" ref="B48" ca="1">INDIRECT("'Asset Class Returns &amp; Weights'!A"&amp;$A48)</f>
        <v>45473</v>
      </c>
      <c r="C48" s="74" cm="1">
        <f t="array" aca="1" ref="C48" ca="1">INDIRECT("'Asset Class Returns &amp; Weights'!AA"&amp;$A48)</f>
        <v>1.1607317321410837</v>
      </c>
      <c r="D48" s="4">
        <f t="shared" ca="1" si="1"/>
        <v>1.0116073173214108</v>
      </c>
      <c r="E48" s="4">
        <f t="shared" ca="1" si="5"/>
        <v>1.3876082975950632</v>
      </c>
      <c r="F48" s="60">
        <f ca="1">'Asset Class Returns &amp; Weights'!$G$14*'(Bootstrap Simulation)'!E48</f>
        <v>208.9394645865701</v>
      </c>
      <c r="G48" s="74" cm="1">
        <f t="array" aca="1" ref="G48" ca="1">INDIRECT("'Asset Class Returns &amp; Weights'!AI"&amp;$A48)</f>
        <v>0.13587500000000002</v>
      </c>
      <c r="H48" s="4">
        <f t="shared" ca="1" si="2"/>
        <v>1.0013587500000001</v>
      </c>
      <c r="I48" s="4">
        <f t="shared" ca="1" si="6"/>
        <v>0.99606482334692903</v>
      </c>
      <c r="J48" s="60">
        <f ca="1">'Asset Class Returns &amp; Weights'!$G$15*'(Bootstrap Simulation)'!I48</f>
        <v>150.16854154221349</v>
      </c>
      <c r="K48" s="63">
        <f t="shared" ca="1" si="3"/>
        <v>1.3913664103066199</v>
      </c>
      <c r="L48" s="58">
        <f t="shared" ca="1" si="4"/>
        <v>58.770923044356607</v>
      </c>
      <c r="N48">
        <f t="shared" si="0"/>
        <v>47</v>
      </c>
      <c r="O48" s="63">
        <v>1.2882075109516835</v>
      </c>
      <c r="P48" s="62">
        <v>42.408879016064049</v>
      </c>
    </row>
    <row r="49" spans="1:16" x14ac:dyDescent="0.2">
      <c r="A49" s="39">
        <f ca="1">RANDBETWEEN(ROW('Asset Class Returns &amp; Weights'!$A$23),ROW('Asset Class Returns &amp; Weights'!$A$166))</f>
        <v>39</v>
      </c>
      <c r="B49" s="56" cm="1">
        <f t="array" aca="1" ref="B49" ca="1">INDIRECT("'Asset Class Returns &amp; Weights'!A"&amp;$A49)</f>
        <v>41943</v>
      </c>
      <c r="C49" s="74" cm="1">
        <f t="array" aca="1" ref="C49" ca="1">INDIRECT("'Asset Class Returns &amp; Weights'!AA"&amp;$A49)</f>
        <v>0.54311279831289316</v>
      </c>
      <c r="D49" s="4">
        <f t="shared" ca="1" si="1"/>
        <v>1.0054311279831289</v>
      </c>
      <c r="E49" s="4">
        <f t="shared" ca="1" si="5"/>
        <v>1.3951445758497536</v>
      </c>
      <c r="F49" s="60">
        <f ca="1">'Asset Class Returns &amp; Weights'!$G$14*'(Bootstrap Simulation)'!E49</f>
        <v>210.07424155946617</v>
      </c>
      <c r="G49" s="74" cm="1">
        <f t="array" aca="1" ref="G49" ca="1">INDIRECT("'Asset Class Returns &amp; Weights'!AI"&amp;$A49)</f>
        <v>-1.2916666666666667E-3</v>
      </c>
      <c r="H49" s="4">
        <f t="shared" ca="1" si="2"/>
        <v>0.9999870833333333</v>
      </c>
      <c r="I49" s="4">
        <f t="shared" ca="1" si="6"/>
        <v>0.99605195750962738</v>
      </c>
      <c r="J49" s="60">
        <f ca="1">'Asset Class Returns &amp; Weights'!$G$15*'(Bootstrap Simulation)'!I49</f>
        <v>150.16660186521855</v>
      </c>
      <c r="K49" s="63">
        <f t="shared" ca="1" si="3"/>
        <v>1.3989411690091882</v>
      </c>
      <c r="L49" s="58">
        <f t="shared" ca="1" si="4"/>
        <v>59.907639694247621</v>
      </c>
      <c r="N49">
        <f t="shared" si="0"/>
        <v>48</v>
      </c>
      <c r="O49" s="63">
        <v>1.6983399791371965</v>
      </c>
      <c r="P49" s="62">
        <v>101.12347584748227</v>
      </c>
    </row>
    <row r="50" spans="1:16" x14ac:dyDescent="0.2">
      <c r="A50" s="39">
        <f ca="1">RANDBETWEEN(ROW('Asset Class Returns &amp; Weights'!$A$23),ROW('Asset Class Returns &amp; Weights'!$A$166))</f>
        <v>40</v>
      </c>
      <c r="B50" s="56" cm="1">
        <f t="array" aca="1" ref="B50" ca="1">INDIRECT("'Asset Class Returns &amp; Weights'!A"&amp;$A50)</f>
        <v>41973</v>
      </c>
      <c r="C50" s="74" cm="1">
        <f t="array" aca="1" ref="C50" ca="1">INDIRECT("'Asset Class Returns &amp; Weights'!AA"&amp;$A50)</f>
        <v>2.6535892327475388</v>
      </c>
      <c r="D50" s="4">
        <f t="shared" ca="1" si="1"/>
        <v>1.0265358923274754</v>
      </c>
      <c r="E50" s="4">
        <f t="shared" ca="1" si="5"/>
        <v>1.432165982095764</v>
      </c>
      <c r="F50" s="60">
        <f ca="1">'Asset Class Returns &amp; Weights'!$G$14*'(Bootstrap Simulation)'!E50</f>
        <v>215.64874901426421</v>
      </c>
      <c r="G50" s="74" cm="1">
        <f t="array" aca="1" ref="G50" ca="1">INDIRECT("'Asset Class Returns &amp; Weights'!AI"&amp;$A50)</f>
        <v>-2.2805555555555558E-2</v>
      </c>
      <c r="H50" s="4">
        <f t="shared" ca="1" si="2"/>
        <v>0.99977194444444439</v>
      </c>
      <c r="I50" s="4">
        <f t="shared" ca="1" si="6"/>
        <v>0.99582480232709525</v>
      </c>
      <c r="J50" s="60">
        <f ca="1">'Asset Class Returns &amp; Weights'!$G$15*'(Bootstrap Simulation)'!I50</f>
        <v>150.13235553740429</v>
      </c>
      <c r="K50" s="63">
        <f t="shared" ca="1" si="3"/>
        <v>1.4363908981667648</v>
      </c>
      <c r="L50" s="58">
        <f t="shared" ca="1" si="4"/>
        <v>65.516393476859918</v>
      </c>
      <c r="N50">
        <f t="shared" si="0"/>
        <v>49</v>
      </c>
      <c r="O50" s="63">
        <v>2.0278918113224349</v>
      </c>
      <c r="P50" s="62">
        <v>149.65567041676925</v>
      </c>
    </row>
    <row r="51" spans="1:16" x14ac:dyDescent="0.2">
      <c r="A51" s="39">
        <f ca="1">RANDBETWEEN(ROW('Asset Class Returns &amp; Weights'!$A$23),ROW('Asset Class Returns &amp; Weights'!$A$166))</f>
        <v>28</v>
      </c>
      <c r="B51" s="56" cm="1">
        <f t="array" aca="1" ref="B51" ca="1">INDIRECT("'Asset Class Returns &amp; Weights'!A"&amp;$A51)</f>
        <v>41608</v>
      </c>
      <c r="C51" s="74" cm="1">
        <f t="array" aca="1" ref="C51" ca="1">INDIRECT("'Asset Class Returns &amp; Weights'!AA"&amp;$A51)</f>
        <v>-0.40587403799491967</v>
      </c>
      <c r="D51" s="4">
        <f t="shared" ca="1" si="1"/>
        <v>0.99594125962005076</v>
      </c>
      <c r="E51" s="4">
        <f t="shared" ca="1" si="5"/>
        <v>1.4263531921934423</v>
      </c>
      <c r="F51" s="60">
        <f ca="1">'Asset Class Returns &amp; Weights'!$G$14*'(Bootstrap Simulation)'!E51</f>
        <v>214.77348672875448</v>
      </c>
      <c r="G51" s="74" cm="1">
        <f t="array" aca="1" ref="G51" ca="1">INDIRECT("'Asset Class Returns &amp; Weights'!AI"&amp;$A51)</f>
        <v>1.6305555555555545E-2</v>
      </c>
      <c r="H51" s="4">
        <f t="shared" ca="1" si="2"/>
        <v>1.0001630555555556</v>
      </c>
      <c r="I51" s="4">
        <f t="shared" ca="1" si="6"/>
        <v>0.99598717709347473</v>
      </c>
      <c r="J51" s="60">
        <f ca="1">'Asset Class Returns &amp; Weights'!$G$15*'(Bootstrap Simulation)'!I51</f>
        <v>150.15683545204331</v>
      </c>
      <c r="K51" s="63">
        <f t="shared" ca="1" si="3"/>
        <v>1.430327737543112</v>
      </c>
      <c r="L51" s="58">
        <f t="shared" ca="1" si="4"/>
        <v>64.616651276711167</v>
      </c>
      <c r="N51">
        <f t="shared" si="0"/>
        <v>50</v>
      </c>
      <c r="O51" s="63">
        <v>2.3304290094285878</v>
      </c>
      <c r="P51" s="62">
        <v>195.54097493492662</v>
      </c>
    </row>
    <row r="52" spans="1:16" x14ac:dyDescent="0.2">
      <c r="A52" s="39">
        <f ca="1">RANDBETWEEN(ROW('Asset Class Returns &amp; Weights'!$A$23),ROW('Asset Class Returns &amp; Weights'!$A$166))</f>
        <v>120</v>
      </c>
      <c r="B52" s="56" cm="1">
        <f t="array" aca="1" ref="B52" ca="1">INDIRECT("'Asset Class Returns &amp; Weights'!A"&amp;$A52)</f>
        <v>44620</v>
      </c>
      <c r="C52" s="74" cm="1">
        <f t="array" aca="1" ref="C52" ca="1">INDIRECT("'Asset Class Returns &amp; Weights'!AA"&amp;$A52)</f>
        <v>-1.1072210028407516</v>
      </c>
      <c r="D52" s="4">
        <f t="shared" ca="1" si="1"/>
        <v>0.98892778997159247</v>
      </c>
      <c r="E52" s="4">
        <f t="shared" ca="1" si="5"/>
        <v>1.410560310074787</v>
      </c>
      <c r="F52" s="60">
        <f ca="1">'Asset Class Returns &amp; Weights'!$G$14*'(Bootstrap Simulation)'!E52</f>
        <v>212.39546957516032</v>
      </c>
      <c r="G52" s="74" cm="1">
        <f t="array" aca="1" ref="G52" ca="1">INDIRECT("'Asset Class Returns &amp; Weights'!AI"&amp;$A52)</f>
        <v>-0.15408333333333335</v>
      </c>
      <c r="H52" s="4">
        <f t="shared" ca="1" si="2"/>
        <v>0.99845916666666668</v>
      </c>
      <c r="I52" s="4">
        <f t="shared" ca="1" si="6"/>
        <v>0.99445252685143659</v>
      </c>
      <c r="J52" s="60">
        <f ca="1">'Asset Class Returns &amp; Weights'!$G$15*'(Bootstrap Simulation)'!I52</f>
        <v>149.92546879475094</v>
      </c>
      <c r="K52" s="63">
        <f t="shared" ca="1" si="3"/>
        <v>1.4166737064929993</v>
      </c>
      <c r="L52" s="58">
        <f t="shared" ca="1" si="4"/>
        <v>62.470000780409379</v>
      </c>
      <c r="N52">
        <f t="shared" si="0"/>
        <v>51</v>
      </c>
      <c r="O52" s="63">
        <v>2.15420457074551</v>
      </c>
      <c r="P52" s="62">
        <v>170.09137436767077</v>
      </c>
    </row>
    <row r="53" spans="1:16" x14ac:dyDescent="0.2">
      <c r="A53" s="39">
        <f ca="1">RANDBETWEEN(ROW('Asset Class Returns &amp; Weights'!$A$23),ROW('Asset Class Returns &amp; Weights'!$A$166))</f>
        <v>159</v>
      </c>
      <c r="B53" s="56" cm="1">
        <f t="array" aca="1" ref="B53" ca="1">INDIRECT("'Asset Class Returns &amp; Weights'!A"&amp;$A53)</f>
        <v>45808</v>
      </c>
      <c r="C53" s="74" cm="1">
        <f t="array" aca="1" ref="C53" ca="1">INDIRECT("'Asset Class Returns &amp; Weights'!AA"&amp;$A53)</f>
        <v>2.3878145236429944</v>
      </c>
      <c r="D53" s="4">
        <f t="shared" ca="1" si="1"/>
        <v>1.0238781452364298</v>
      </c>
      <c r="E53" s="4">
        <f t="shared" ca="1" si="5"/>
        <v>1.4442418740234964</v>
      </c>
      <c r="F53" s="60">
        <f ca="1">'Asset Class Returns &amp; Weights'!$G$14*'(Bootstrap Simulation)'!E53</f>
        <v>217.46707944523573</v>
      </c>
      <c r="G53" s="74" cm="1">
        <f t="array" aca="1" ref="G53" ca="1">INDIRECT("'Asset Class Returns &amp; Weights'!AI"&amp;$A53)</f>
        <v>0.18530555555555556</v>
      </c>
      <c r="H53" s="4">
        <f t="shared" ca="1" si="2"/>
        <v>1.0018530555555556</v>
      </c>
      <c r="I53" s="4">
        <f t="shared" ca="1" si="6"/>
        <v>0.99629530263105492</v>
      </c>
      <c r="J53" s="60">
        <f ca="1">'Asset Class Returns &amp; Weights'!$G$15*'(Bootstrap Simulation)'!I53</f>
        <v>150.20328901762034</v>
      </c>
      <c r="K53" s="63">
        <f t="shared" ca="1" si="3"/>
        <v>1.4478183591554024</v>
      </c>
      <c r="L53" s="58">
        <f t="shared" ca="1" si="4"/>
        <v>67.26379042761539</v>
      </c>
      <c r="N53">
        <f t="shared" si="0"/>
        <v>52</v>
      </c>
      <c r="O53" s="63">
        <v>1.5149091325326796</v>
      </c>
      <c r="P53" s="62">
        <v>75.846017647241808</v>
      </c>
    </row>
    <row r="54" spans="1:16" x14ac:dyDescent="0.2">
      <c r="A54" s="39">
        <f ca="1">RANDBETWEEN(ROW('Asset Class Returns &amp; Weights'!$A$23),ROW('Asset Class Returns &amp; Weights'!$A$166))</f>
        <v>61</v>
      </c>
      <c r="B54" s="56" cm="1">
        <f t="array" aca="1" ref="B54" ca="1">INDIRECT("'Asset Class Returns &amp; Weights'!A"&amp;$A54)</f>
        <v>42613</v>
      </c>
      <c r="C54" s="74" cm="1">
        <f t="array" aca="1" ref="C54" ca="1">INDIRECT("'Asset Class Returns &amp; Weights'!AA"&amp;$A54)</f>
        <v>1.5752476292840976</v>
      </c>
      <c r="D54" s="4">
        <f t="shared" ca="1" si="1"/>
        <v>1.0157524762928409</v>
      </c>
      <c r="E54" s="4">
        <f t="shared" ca="1" si="5"/>
        <v>1.4669922599051797</v>
      </c>
      <c r="F54" s="60">
        <f ca="1">'Asset Class Returns &amp; Weights'!$G$14*'(Bootstrap Simulation)'!E54</f>
        <v>220.89272445867019</v>
      </c>
      <c r="G54" s="74" cm="1">
        <f t="array" aca="1" ref="G54" ca="1">INDIRECT("'Asset Class Returns &amp; Weights'!AI"&amp;$A54)</f>
        <v>-0.12247222222222223</v>
      </c>
      <c r="H54" s="4">
        <f t="shared" ca="1" si="2"/>
        <v>0.99877527777777775</v>
      </c>
      <c r="I54" s="4">
        <f t="shared" ca="1" si="6"/>
        <v>0.99507511763402701</v>
      </c>
      <c r="J54" s="60">
        <f ca="1">'Asset Class Returns &amp; Weights'!$G$15*'(Bootstrap Simulation)'!I54</f>
        <v>150.01933171170958</v>
      </c>
      <c r="K54" s="63">
        <f t="shared" ca="1" si="3"/>
        <v>1.4724283993156109</v>
      </c>
      <c r="L54" s="58">
        <f t="shared" ca="1" si="4"/>
        <v>70.873392746960604</v>
      </c>
      <c r="N54">
        <f t="shared" si="0"/>
        <v>53</v>
      </c>
      <c r="O54" s="63">
        <v>1.7415230646836499</v>
      </c>
      <c r="P54" s="62">
        <v>108.56662644984826</v>
      </c>
    </row>
    <row r="55" spans="1:16" x14ac:dyDescent="0.2">
      <c r="A55" s="39">
        <f ca="1">RANDBETWEEN(ROW('Asset Class Returns &amp; Weights'!$A$23),ROW('Asset Class Returns &amp; Weights'!$A$166))</f>
        <v>127</v>
      </c>
      <c r="B55" s="56" cm="1">
        <f t="array" aca="1" ref="B55" ca="1">INDIRECT("'Asset Class Returns &amp; Weights'!A"&amp;$A55)</f>
        <v>44834</v>
      </c>
      <c r="C55" s="74" cm="1">
        <f t="array" aca="1" ref="C55" ca="1">INDIRECT("'Asset Class Returns &amp; Weights'!AA"&amp;$A55)</f>
        <v>-4.6868598995851904</v>
      </c>
      <c r="D55" s="4">
        <f t="shared" ca="1" si="1"/>
        <v>0.95313140100414806</v>
      </c>
      <c r="E55" s="4">
        <f t="shared" ca="1" si="5"/>
        <v>1.3982363879456652</v>
      </c>
      <c r="F55" s="60">
        <f ca="1">'Asset Class Returns &amp; Weights'!$G$14*'(Bootstrap Simulation)'!E55</f>
        <v>210.53979193491554</v>
      </c>
      <c r="G55" s="74" cm="1">
        <f t="array" aca="1" ref="G55" ca="1">INDIRECT("'Asset Class Returns &amp; Weights'!AI"&amp;$A55)</f>
        <v>9.0819444444444453E-2</v>
      </c>
      <c r="H55" s="4">
        <f t="shared" ca="1" si="2"/>
        <v>1.0009081944444445</v>
      </c>
      <c r="I55" s="4">
        <f t="shared" ca="1" si="6"/>
        <v>0.99597883932766718</v>
      </c>
      <c r="J55" s="60">
        <f ca="1">'Asset Class Returns &amp; Weights'!$G$15*'(Bootstrap Simulation)'!I55</f>
        <v>150.15557843532943</v>
      </c>
      <c r="K55" s="63">
        <f t="shared" ca="1" si="3"/>
        <v>1.4021443234331319</v>
      </c>
      <c r="L55" s="58">
        <f t="shared" ca="1" si="4"/>
        <v>60.38421349958611</v>
      </c>
      <c r="N55">
        <f t="shared" si="0"/>
        <v>54</v>
      </c>
      <c r="O55" s="63">
        <v>2.4173881442171847</v>
      </c>
      <c r="P55" s="62">
        <v>211.61811641231984</v>
      </c>
    </row>
    <row r="56" spans="1:16" x14ac:dyDescent="0.2">
      <c r="A56" s="39">
        <f ca="1">RANDBETWEEN(ROW('Asset Class Returns &amp; Weights'!$A$23),ROW('Asset Class Returns &amp; Weights'!$A$166))</f>
        <v>94</v>
      </c>
      <c r="B56" s="56" cm="1">
        <f t="array" aca="1" ref="B56" ca="1">INDIRECT("'Asset Class Returns &amp; Weights'!A"&amp;$A56)</f>
        <v>43830</v>
      </c>
      <c r="C56" s="74" cm="1">
        <f t="array" aca="1" ref="C56" ca="1">INDIRECT("'Asset Class Returns &amp; Weights'!AA"&amp;$A56)</f>
        <v>0.79930043255834871</v>
      </c>
      <c r="D56" s="4">
        <f t="shared" ca="1" si="1"/>
        <v>1.0079930043255836</v>
      </c>
      <c r="E56" s="4">
        <f t="shared" ca="1" si="5"/>
        <v>1.4094124974427034</v>
      </c>
      <c r="F56" s="60">
        <f ca="1">'Asset Class Returns &amp; Weights'!$G$14*'(Bootstrap Simulation)'!E56</f>
        <v>212.2226374025588</v>
      </c>
      <c r="G56" s="74" cm="1">
        <f t="array" aca="1" ref="G56" ca="1">INDIRECT("'Asset Class Returns &amp; Weights'!AI"&amp;$A56)</f>
        <v>-0.12341666666666667</v>
      </c>
      <c r="H56" s="4">
        <f t="shared" ca="1" si="2"/>
        <v>0.99876583333333335</v>
      </c>
      <c r="I56" s="4">
        <f t="shared" ca="1" si="6"/>
        <v>0.99474963544346362</v>
      </c>
      <c r="J56" s="60">
        <f ca="1">'Asset Class Returns &amp; Weights'!$G$15*'(Bootstrap Simulation)'!I56</f>
        <v>149.97026142561049</v>
      </c>
      <c r="K56" s="63">
        <f t="shared" ca="1" si="3"/>
        <v>1.4150981360249697</v>
      </c>
      <c r="L56" s="58">
        <f t="shared" ca="1" si="4"/>
        <v>62.252375976948315</v>
      </c>
      <c r="N56">
        <f t="shared" si="0"/>
        <v>55</v>
      </c>
      <c r="O56" s="63">
        <v>1.2676296373164135</v>
      </c>
      <c r="P56" s="62">
        <v>39.375847041398686</v>
      </c>
    </row>
    <row r="57" spans="1:16" x14ac:dyDescent="0.2">
      <c r="A57" s="39">
        <f ca="1">RANDBETWEEN(ROW('Asset Class Returns &amp; Weights'!$A$23),ROW('Asset Class Returns &amp; Weights'!$A$166))</f>
        <v>151</v>
      </c>
      <c r="B57" s="56" cm="1">
        <f t="array" aca="1" ref="B57" ca="1">INDIRECT("'Asset Class Returns &amp; Weights'!A"&amp;$A57)</f>
        <v>45565</v>
      </c>
      <c r="C57" s="74" cm="1">
        <f t="array" aca="1" ref="C57" ca="1">INDIRECT("'Asset Class Returns &amp; Weights'!AA"&amp;$A57)</f>
        <v>6.2862567183433013E-2</v>
      </c>
      <c r="D57" s="4">
        <f t="shared" ca="1" si="1"/>
        <v>1.0006286256718344</v>
      </c>
      <c r="E57" s="4">
        <f t="shared" ca="1" si="5"/>
        <v>1.4102984903208</v>
      </c>
      <c r="F57" s="60">
        <f ca="1">'Asset Class Returns &amp; Weights'!$G$14*'(Bootstrap Simulation)'!E57</f>
        <v>212.35604600057445</v>
      </c>
      <c r="G57" s="74" cm="1">
        <f t="array" aca="1" ref="G57" ca="1">INDIRECT("'Asset Class Returns &amp; Weights'!AI"&amp;$A57)</f>
        <v>0.12755555555555556</v>
      </c>
      <c r="H57" s="4">
        <f t="shared" ca="1" si="2"/>
        <v>1.0012755555555555</v>
      </c>
      <c r="I57" s="4">
        <f t="shared" ca="1" si="6"/>
        <v>0.99601849386734032</v>
      </c>
      <c r="J57" s="60">
        <f ca="1">'Asset Class Returns &amp; Weights'!$G$15*'(Bootstrap Simulation)'!I57</f>
        <v>150.16155682574004</v>
      </c>
      <c r="K57" s="63">
        <f t="shared" ca="1" si="3"/>
        <v>1.4141838329966843</v>
      </c>
      <c r="L57" s="58">
        <f t="shared" ca="1" si="4"/>
        <v>62.194489174834416</v>
      </c>
      <c r="N57">
        <f t="shared" si="0"/>
        <v>56</v>
      </c>
      <c r="O57" s="63">
        <v>1.3682346365656177</v>
      </c>
      <c r="P57" s="62">
        <v>53.914470697842461</v>
      </c>
    </row>
    <row r="58" spans="1:16" x14ac:dyDescent="0.2">
      <c r="A58" s="39">
        <f ca="1">RANDBETWEEN(ROW('Asset Class Returns &amp; Weights'!$A$23),ROW('Asset Class Returns &amp; Weights'!$A$166))</f>
        <v>97</v>
      </c>
      <c r="B58" s="56" cm="1">
        <f t="array" aca="1" ref="B58" ca="1">INDIRECT("'Asset Class Returns &amp; Weights'!A"&amp;$A58)</f>
        <v>43921</v>
      </c>
      <c r="C58" s="74" cm="1">
        <f t="array" aca="1" ref="C58" ca="1">INDIRECT("'Asset Class Returns &amp; Weights'!AA"&amp;$A58)</f>
        <v>-7.0047284893671877</v>
      </c>
      <c r="D58" s="4">
        <f t="shared" ca="1" si="1"/>
        <v>0.92995271510632815</v>
      </c>
      <c r="E58" s="4">
        <f t="shared" ca="1" si="5"/>
        <v>1.3115109101841835</v>
      </c>
      <c r="F58" s="60">
        <f ca="1">'Asset Class Returns &amp; Weights'!$G$14*'(Bootstrap Simulation)'!E58</f>
        <v>197.48108154747851</v>
      </c>
      <c r="G58" s="74" cm="1">
        <f t="array" aca="1" ref="G58" ca="1">INDIRECT("'Asset Class Returns &amp; Weights'!AI"&amp;$A58)</f>
        <v>-0.1418611111111111</v>
      </c>
      <c r="H58" s="4">
        <f t="shared" ca="1" si="2"/>
        <v>0.99858138888888892</v>
      </c>
      <c r="I58" s="4">
        <f t="shared" ca="1" si="6"/>
        <v>0.99460553096506799</v>
      </c>
      <c r="J58" s="60">
        <f ca="1">'Asset Class Returns &amp; Weights'!$G$15*'(Bootstrap Simulation)'!I58</f>
        <v>149.94853597276531</v>
      </c>
      <c r="K58" s="63">
        <f t="shared" ca="1" si="3"/>
        <v>1.3169923951998197</v>
      </c>
      <c r="L58" s="58">
        <f t="shared" ca="1" si="4"/>
        <v>47.532545574713197</v>
      </c>
      <c r="N58">
        <f t="shared" si="0"/>
        <v>57</v>
      </c>
      <c r="O58" s="63">
        <v>1.2857110998517267</v>
      </c>
      <c r="P58" s="62">
        <v>41.452168439799124</v>
      </c>
    </row>
    <row r="59" spans="1:16" x14ac:dyDescent="0.2">
      <c r="A59" s="39">
        <f ca="1">RANDBETWEEN(ROW('Asset Class Returns &amp; Weights'!$A$23),ROW('Asset Class Returns &amp; Weights'!$A$166))</f>
        <v>35</v>
      </c>
      <c r="B59" s="56" cm="1">
        <f t="array" aca="1" ref="B59" ca="1">INDIRECT("'Asset Class Returns &amp; Weights'!A"&amp;$A59)</f>
        <v>41820</v>
      </c>
      <c r="C59" s="74" cm="1">
        <f t="array" aca="1" ref="C59" ca="1">INDIRECT("'Asset Class Returns &amp; Weights'!AA"&amp;$A59)</f>
        <v>-0.15960421366991845</v>
      </c>
      <c r="D59" s="4">
        <f t="shared" ca="1" si="1"/>
        <v>0.99840395786330083</v>
      </c>
      <c r="E59" s="4">
        <f t="shared" ca="1" si="5"/>
        <v>1.309417683508789</v>
      </c>
      <c r="F59" s="60">
        <f ca="1">'Asset Class Returns &amp; Weights'!$G$14*'(Bootstrap Simulation)'!E59</f>
        <v>197.16589342012782</v>
      </c>
      <c r="G59" s="74" cm="1">
        <f t="array" aca="1" ref="G59" ca="1">INDIRECT("'Asset Class Returns &amp; Weights'!AI"&amp;$A59)</f>
        <v>2.376388888888889E-2</v>
      </c>
      <c r="H59" s="4">
        <f t="shared" ca="1" si="2"/>
        <v>1.0002376388888889</v>
      </c>
      <c r="I59" s="4">
        <f t="shared" ca="1" si="6"/>
        <v>0.99484188791832928</v>
      </c>
      <c r="J59" s="60">
        <f ca="1">'Asset Class Returns &amp; Weights'!$G$15*'(Bootstrap Simulation)'!I59</f>
        <v>149.9841695762444</v>
      </c>
      <c r="K59" s="63">
        <f t="shared" ca="1" si="3"/>
        <v>1.3145780249821539</v>
      </c>
      <c r="L59" s="58">
        <f t="shared" ca="1" si="4"/>
        <v>47.181723843883418</v>
      </c>
      <c r="N59">
        <f t="shared" si="0"/>
        <v>58</v>
      </c>
      <c r="O59" s="63">
        <v>1.7902375246796807</v>
      </c>
      <c r="P59" s="62">
        <v>114.76556496544202</v>
      </c>
    </row>
    <row r="60" spans="1:16" x14ac:dyDescent="0.2">
      <c r="A60" s="39">
        <f ca="1">RANDBETWEEN(ROW('Asset Class Returns &amp; Weights'!$A$23),ROW('Asset Class Returns &amp; Weights'!$A$166))</f>
        <v>130</v>
      </c>
      <c r="B60" s="56" cm="1">
        <f t="array" aca="1" ref="B60" ca="1">INDIRECT("'Asset Class Returns &amp; Weights'!A"&amp;$A60)</f>
        <v>44926</v>
      </c>
      <c r="C60" s="74" cm="1">
        <f t="array" aca="1" ref="C60" ca="1">INDIRECT("'Asset Class Returns &amp; Weights'!AA"&amp;$A60)</f>
        <v>-1.3850399013585131</v>
      </c>
      <c r="D60" s="4">
        <f t="shared" ca="1" si="1"/>
        <v>0.98614960098641491</v>
      </c>
      <c r="E60" s="4">
        <f t="shared" ca="1" si="5"/>
        <v>1.291281726116748</v>
      </c>
      <c r="F60" s="60">
        <f ca="1">'Asset Class Returns &amp; Weights'!$G$14*'(Bootstrap Simulation)'!E60</f>
        <v>194.43506712438906</v>
      </c>
      <c r="G60" s="74" cm="1">
        <f t="array" aca="1" ref="G60" ca="1">INDIRECT("'Asset Class Returns &amp; Weights'!AI"&amp;$A60)</f>
        <v>0.10613888888888891</v>
      </c>
      <c r="H60" s="4">
        <f t="shared" ca="1" si="2"/>
        <v>1.0010613888888888</v>
      </c>
      <c r="I60" s="4">
        <f t="shared" ca="1" si="6"/>
        <v>0.99589780204436695</v>
      </c>
      <c r="J60" s="60">
        <f ca="1">'Asset Class Returns &amp; Weights'!$G$15*'(Bootstrap Simulation)'!I60</f>
        <v>150.14336110734183</v>
      </c>
      <c r="K60" s="63">
        <f t="shared" ca="1" si="3"/>
        <v>1.2949961003296164</v>
      </c>
      <c r="L60" s="58">
        <f t="shared" ca="1" si="4"/>
        <v>44.291706017047233</v>
      </c>
      <c r="N60">
        <f t="shared" si="0"/>
        <v>59</v>
      </c>
      <c r="O60" s="63">
        <v>2.0939974879791436</v>
      </c>
      <c r="P60" s="62">
        <v>164.38301269758779</v>
      </c>
    </row>
    <row r="61" spans="1:16" x14ac:dyDescent="0.2">
      <c r="A61" s="39">
        <f ca="1">RANDBETWEEN(ROW('Asset Class Returns &amp; Weights'!$A$23),ROW('Asset Class Returns &amp; Weights'!$A$166))</f>
        <v>116</v>
      </c>
      <c r="B61" s="56" cm="1">
        <f t="array" aca="1" ref="B61" ca="1">INDIRECT("'Asset Class Returns &amp; Weights'!A"&amp;$A61)</f>
        <v>44500</v>
      </c>
      <c r="C61" s="74" cm="1">
        <f t="array" aca="1" ref="C61" ca="1">INDIRECT("'Asset Class Returns &amp; Weights'!AA"&amp;$A61)</f>
        <v>1.7130121087748451</v>
      </c>
      <c r="D61" s="4">
        <f t="shared" ca="1" si="1"/>
        <v>1.0171301210877484</v>
      </c>
      <c r="E61" s="4">
        <f t="shared" ca="1" si="5"/>
        <v>1.3134015384435245</v>
      </c>
      <c r="F61" s="60">
        <f ca="1">'Asset Class Returns &amp; Weights'!$G$14*'(Bootstrap Simulation)'!E61</f>
        <v>197.76576336793431</v>
      </c>
      <c r="G61" s="74" cm="1">
        <f t="array" aca="1" ref="G61" ca="1">INDIRECT("'Asset Class Returns &amp; Weights'!AI"&amp;$A61)</f>
        <v>-0.16800000000000001</v>
      </c>
      <c r="H61" s="4">
        <f t="shared" ca="1" si="2"/>
        <v>0.99831999999999999</v>
      </c>
      <c r="I61" s="4">
        <f t="shared" ca="1" si="6"/>
        <v>0.99422469373693245</v>
      </c>
      <c r="J61" s="60">
        <f ca="1">'Asset Class Returns &amp; Weights'!$G$15*'(Bootstrap Simulation)'!I61</f>
        <v>149.8911202606815</v>
      </c>
      <c r="K61" s="63">
        <f t="shared" ca="1" si="3"/>
        <v>1.3193961258278153</v>
      </c>
      <c r="L61" s="58">
        <f t="shared" ca="1" si="4"/>
        <v>47.874643107252808</v>
      </c>
      <c r="N61">
        <f t="shared" si="0"/>
        <v>60</v>
      </c>
      <c r="O61" s="63">
        <v>1.7193254716444266</v>
      </c>
      <c r="P61" s="62">
        <v>105.51080084107741</v>
      </c>
    </row>
    <row r="62" spans="1:16" x14ac:dyDescent="0.2">
      <c r="A62" s="39">
        <f ca="1">RANDBETWEEN(ROW('Asset Class Returns &amp; Weights'!$A$23),ROW('Asset Class Returns &amp; Weights'!$A$166))</f>
        <v>47</v>
      </c>
      <c r="B62" s="56" cm="1">
        <f t="array" aca="1" ref="B62" ca="1">INDIRECT("'Asset Class Returns &amp; Weights'!A"&amp;$A62)</f>
        <v>42185</v>
      </c>
      <c r="C62" s="74" cm="1">
        <f t="array" aca="1" ref="C62" ca="1">INDIRECT("'Asset Class Returns &amp; Weights'!AA"&amp;$A62)</f>
        <v>-3.3442885744124804</v>
      </c>
      <c r="D62" s="4">
        <f t="shared" ca="1" si="1"/>
        <v>0.9665571142558752</v>
      </c>
      <c r="E62" s="4">
        <f t="shared" ca="1" si="5"/>
        <v>1.2694776008572</v>
      </c>
      <c r="F62" s="60">
        <f ca="1">'Asset Class Returns &amp; Weights'!$G$14*'(Bootstrap Simulation)'!E62</f>
        <v>191.15190553952087</v>
      </c>
      <c r="G62" s="74" cm="1">
        <f t="array" aca="1" ref="G62" ca="1">INDIRECT("'Asset Class Returns &amp; Weights'!AI"&amp;$A62)</f>
        <v>-2.1027777777777784E-2</v>
      </c>
      <c r="H62" s="4">
        <f t="shared" ca="1" si="2"/>
        <v>0.99978972222222218</v>
      </c>
      <c r="I62" s="4">
        <f t="shared" ca="1" si="6"/>
        <v>0.99401563037772156</v>
      </c>
      <c r="J62" s="60">
        <f ca="1">'Asset Class Returns &amp; Weights'!$G$15*'(Bootstrap Simulation)'!I62</f>
        <v>149.85960148900446</v>
      </c>
      <c r="K62" s="63">
        <f t="shared" ca="1" si="3"/>
        <v>1.2755399296423868</v>
      </c>
      <c r="L62" s="58">
        <f t="shared" ca="1" si="4"/>
        <v>41.292304050516407</v>
      </c>
      <c r="N62">
        <f t="shared" si="0"/>
        <v>61</v>
      </c>
      <c r="O62" s="63">
        <v>1.2403034823211774</v>
      </c>
      <c r="P62" s="62">
        <v>35.297768994622118</v>
      </c>
    </row>
    <row r="63" spans="1:16" x14ac:dyDescent="0.2">
      <c r="A63" s="39">
        <f ca="1">RANDBETWEEN(ROW('Asset Class Returns &amp; Weights'!$A$23),ROW('Asset Class Returns &amp; Weights'!$A$166))</f>
        <v>83</v>
      </c>
      <c r="B63" s="56" cm="1">
        <f t="array" aca="1" ref="B63" ca="1">INDIRECT("'Asset Class Returns &amp; Weights'!A"&amp;$A63)</f>
        <v>43281</v>
      </c>
      <c r="C63" s="74" cm="1">
        <f t="array" aca="1" ref="C63" ca="1">INDIRECT("'Asset Class Returns &amp; Weights'!AA"&amp;$A63)</f>
        <v>0.17050584189129772</v>
      </c>
      <c r="D63" s="4">
        <f t="shared" ca="1" si="1"/>
        <v>1.0017050584189129</v>
      </c>
      <c r="E63" s="4">
        <f t="shared" ca="1" si="5"/>
        <v>1.2716421343281628</v>
      </c>
      <c r="F63" s="60">
        <f ca="1">'Asset Class Returns &amp; Weights'!$G$14*'(Bootstrap Simulation)'!E63</f>
        <v>191.47783070535226</v>
      </c>
      <c r="G63" s="74" cm="1">
        <f t="array" aca="1" ref="G63" ca="1">INDIRECT("'Asset Class Returns &amp; Weights'!AI"&amp;$A63)</f>
        <v>-8.6250000000000021E-2</v>
      </c>
      <c r="H63" s="4">
        <f t="shared" ca="1" si="2"/>
        <v>0.99913750000000001</v>
      </c>
      <c r="I63" s="4">
        <f t="shared" ca="1" si="6"/>
        <v>0.99315829189652083</v>
      </c>
      <c r="J63" s="60">
        <f ca="1">'Asset Class Returns &amp; Weights'!$G$15*'(Bootstrap Simulation)'!I63</f>
        <v>149.73034758272019</v>
      </c>
      <c r="K63" s="63">
        <f t="shared" ca="1" si="3"/>
        <v>1.2788177800733964</v>
      </c>
      <c r="L63" s="58">
        <f t="shared" ca="1" si="4"/>
        <v>41.747483122632076</v>
      </c>
      <c r="N63">
        <f t="shared" si="0"/>
        <v>62</v>
      </c>
      <c r="O63" s="63">
        <v>1.5079877594557705</v>
      </c>
      <c r="P63" s="62">
        <v>74.598739650442667</v>
      </c>
    </row>
    <row r="64" spans="1:16" x14ac:dyDescent="0.2">
      <c r="A64" s="39">
        <f ca="1">RANDBETWEEN(ROW('Asset Class Returns &amp; Weights'!$A$23),ROW('Asset Class Returns &amp; Weights'!$A$166))</f>
        <v>85</v>
      </c>
      <c r="B64" s="56" cm="1">
        <f t="array" aca="1" ref="B64" ca="1">INDIRECT("'Asset Class Returns &amp; Weights'!A"&amp;$A64)</f>
        <v>43343</v>
      </c>
      <c r="C64" s="74" cm="1">
        <f t="array" aca="1" ref="C64" ca="1">INDIRECT("'Asset Class Returns &amp; Weights'!AA"&amp;$A64)</f>
        <v>1.3361896540353232E-2</v>
      </c>
      <c r="D64" s="4">
        <f t="shared" ca="1" si="1"/>
        <v>1.0001336189654035</v>
      </c>
      <c r="E64" s="4">
        <f t="shared" ca="1" si="5"/>
        <v>1.2718120498345151</v>
      </c>
      <c r="F64" s="60">
        <f ca="1">'Asset Class Returns &amp; Weights'!$G$14*'(Bootstrap Simulation)'!E64</f>
        <v>191.50341577498881</v>
      </c>
      <c r="G64" s="74" cm="1">
        <f t="array" aca="1" ref="G64" ca="1">INDIRECT("'Asset Class Returns &amp; Weights'!AI"&amp;$A64)</f>
        <v>-8.4027777777777785E-2</v>
      </c>
      <c r="H64" s="4">
        <f t="shared" ca="1" si="2"/>
        <v>0.99915972222222227</v>
      </c>
      <c r="I64" s="4">
        <f t="shared" ca="1" si="6"/>
        <v>0.99232376305402448</v>
      </c>
      <c r="J64" s="60">
        <f ca="1">'Asset Class Returns &amp; Weights'!$G$15*'(Bootstrap Simulation)'!I64</f>
        <v>149.60453249898751</v>
      </c>
      <c r="K64" s="63">
        <f t="shared" ca="1" si="3"/>
        <v>1.2800642639372231</v>
      </c>
      <c r="L64" s="58">
        <f t="shared" ca="1" si="4"/>
        <v>41.8988832760013</v>
      </c>
      <c r="N64">
        <f t="shared" si="0"/>
        <v>63</v>
      </c>
      <c r="O64" s="63">
        <v>1.6042485688928554</v>
      </c>
      <c r="P64" s="62">
        <v>87.34117650791049</v>
      </c>
    </row>
    <row r="65" spans="1:16" x14ac:dyDescent="0.2">
      <c r="A65" s="39">
        <f ca="1">RANDBETWEEN(ROW('Asset Class Returns &amp; Weights'!$A$23),ROW('Asset Class Returns &amp; Weights'!$A$166))</f>
        <v>58</v>
      </c>
      <c r="B65" s="56" cm="1">
        <f t="array" aca="1" ref="B65" ca="1">INDIRECT("'Asset Class Returns &amp; Weights'!A"&amp;$A65)</f>
        <v>42521</v>
      </c>
      <c r="C65" s="74" cm="1">
        <f t="array" aca="1" ref="C65" ca="1">INDIRECT("'Asset Class Returns &amp; Weights'!AA"&amp;$A65)</f>
        <v>0.80909571022157933</v>
      </c>
      <c r="D65" s="4">
        <f t="shared" ca="1" si="1"/>
        <v>1.0080909571022159</v>
      </c>
      <c r="E65" s="4">
        <f t="shared" ca="1" si="5"/>
        <v>1.2821022265718074</v>
      </c>
      <c r="F65" s="60">
        <f ca="1">'Asset Class Returns &amp; Weights'!$G$14*'(Bootstrap Simulation)'!E65</f>
        <v>193.05286169695205</v>
      </c>
      <c r="G65" s="74" cm="1">
        <f t="array" aca="1" ref="G65" ca="1">INDIRECT("'Asset Class Returns &amp; Weights'!AI"&amp;$A65)</f>
        <v>-4.0472222222222229E-2</v>
      </c>
      <c r="H65" s="4">
        <f t="shared" ca="1" si="2"/>
        <v>0.99959527777777779</v>
      </c>
      <c r="I65" s="4">
        <f t="shared" ca="1" si="6"/>
        <v>0.99192214757547736</v>
      </c>
      <c r="J65" s="60">
        <f ca="1">'Asset Class Returns &amp; Weights'!$G$15*'(Bootstrap Simulation)'!I65</f>
        <v>149.54398422014</v>
      </c>
      <c r="K65" s="63">
        <f t="shared" ca="1" si="3"/>
        <v>1.2909436825807965</v>
      </c>
      <c r="L65" s="58">
        <f t="shared" ca="1" si="4"/>
        <v>43.508877476812046</v>
      </c>
      <c r="N65">
        <f t="shared" si="0"/>
        <v>64</v>
      </c>
      <c r="O65" s="63">
        <v>2.3278595349912918</v>
      </c>
      <c r="P65" s="62">
        <v>193.98723495359181</v>
      </c>
    </row>
    <row r="66" spans="1:16" x14ac:dyDescent="0.2">
      <c r="A66" s="39">
        <f ca="1">RANDBETWEEN(ROW('Asset Class Returns &amp; Weights'!$A$23),ROW('Asset Class Returns &amp; Weights'!$A$166))</f>
        <v>91</v>
      </c>
      <c r="B66" s="56" cm="1">
        <f t="array" aca="1" ref="B66" ca="1">INDIRECT("'Asset Class Returns &amp; Weights'!A"&amp;$A66)</f>
        <v>43738</v>
      </c>
      <c r="C66" s="74" cm="1">
        <f t="array" aca="1" ref="C66" ca="1">INDIRECT("'Asset Class Returns &amp; Weights'!AA"&amp;$A66)</f>
        <v>1.3201728926043841</v>
      </c>
      <c r="D66" s="4">
        <f t="shared" ca="1" si="1"/>
        <v>1.0132017289260438</v>
      </c>
      <c r="E66" s="4">
        <f t="shared" ca="1" si="5"/>
        <v>1.2990281926224856</v>
      </c>
      <c r="F66" s="60">
        <f ca="1">'Asset Class Returns &amp; Weights'!$G$14*'(Bootstrap Simulation)'!E66</f>
        <v>195.60149324547223</v>
      </c>
      <c r="G66" s="74" cm="1">
        <f t="array" aca="1" ref="G66" ca="1">INDIRECT("'Asset Class Returns &amp; Weights'!AI"&amp;$A66)</f>
        <v>-0.16880555555555557</v>
      </c>
      <c r="H66" s="4">
        <f t="shared" ca="1" si="2"/>
        <v>0.99831194444444449</v>
      </c>
      <c r="I66" s="4">
        <f t="shared" ca="1" si="6"/>
        <v>0.99024772788358406</v>
      </c>
      <c r="J66" s="60">
        <f ca="1">'Asset Class Returns &amp; Weights'!$G$15*'(Bootstrap Simulation)'!I66</f>
        <v>149.2915456667773</v>
      </c>
      <c r="K66" s="63">
        <f t="shared" ca="1" si="3"/>
        <v>1.3101980582481205</v>
      </c>
      <c r="L66" s="58">
        <f t="shared" ca="1" si="4"/>
        <v>46.309947578694931</v>
      </c>
      <c r="N66">
        <f t="shared" ref="N66:N129" si="7">ROW(N66)-1</f>
        <v>65</v>
      </c>
      <c r="O66" s="63">
        <v>1.695530307748917</v>
      </c>
      <c r="P66" s="62">
        <v>103.01322910467422</v>
      </c>
    </row>
    <row r="67" spans="1:16" x14ac:dyDescent="0.2">
      <c r="A67" s="39">
        <f ca="1">RANDBETWEEN(ROW('Asset Class Returns &amp; Weights'!$A$23),ROW('Asset Class Returns &amp; Weights'!$A$166))</f>
        <v>98</v>
      </c>
      <c r="B67" s="56" cm="1">
        <f t="array" aca="1" ref="B67" ca="1">INDIRECT("'Asset Class Returns &amp; Weights'!A"&amp;$A67)</f>
        <v>43951</v>
      </c>
      <c r="C67" s="74" cm="1">
        <f t="array" aca="1" ref="C67" ca="1">INDIRECT("'Asset Class Returns &amp; Weights'!AA"&amp;$A67)</f>
        <v>4.5018822436456931</v>
      </c>
      <c r="D67" s="4">
        <f t="shared" ref="D67:D121" ca="1" si="8">1+(C67/100)</f>
        <v>1.0450188224364569</v>
      </c>
      <c r="E67" s="4">
        <f t="shared" ca="1" si="5"/>
        <v>1.3575089121661088</v>
      </c>
      <c r="F67" s="60">
        <f ca="1">'Asset Class Returns &amp; Weights'!$G$14*'(Bootstrap Simulation)'!E67</f>
        <v>204.40724213819595</v>
      </c>
      <c r="G67" s="74" cm="1">
        <f t="array" aca="1" ref="G67" ca="1">INDIRECT("'Asset Class Returns &amp; Weights'!AI"&amp;$A67)</f>
        <v>-0.14687500000000001</v>
      </c>
      <c r="H67" s="4">
        <f t="shared" ref="H67:H121" ca="1" si="9">1+(G67/100)</f>
        <v>0.99853124999999998</v>
      </c>
      <c r="I67" s="4">
        <f t="shared" ca="1" si="6"/>
        <v>0.98879330153325506</v>
      </c>
      <c r="J67" s="60">
        <f ca="1">'Asset Class Returns &amp; Weights'!$G$15*'(Bootstrap Simulation)'!I67</f>
        <v>149.07227370907921</v>
      </c>
      <c r="K67" s="63">
        <f t="shared" ref="K67:K120" ca="1" si="10">F67/J67</f>
        <v>1.371195575490485</v>
      </c>
      <c r="L67" s="58">
        <f t="shared" ref="L67:L121" ca="1" si="11">F67-J67</f>
        <v>55.334968429116742</v>
      </c>
      <c r="N67">
        <f t="shared" si="7"/>
        <v>66</v>
      </c>
      <c r="O67" s="63">
        <v>1.1647546785022316</v>
      </c>
      <c r="P67" s="62">
        <v>24.340868903106013</v>
      </c>
    </row>
    <row r="68" spans="1:16" x14ac:dyDescent="0.2">
      <c r="A68" s="39">
        <f ca="1">RANDBETWEEN(ROW('Asset Class Returns &amp; Weights'!$A$23),ROW('Asset Class Returns &amp; Weights'!$A$166))</f>
        <v>123</v>
      </c>
      <c r="B68" s="56" cm="1">
        <f t="array" aca="1" ref="B68" ca="1">INDIRECT("'Asset Class Returns &amp; Weights'!A"&amp;$A68)</f>
        <v>44712</v>
      </c>
      <c r="C68" s="74" cm="1">
        <f t="array" aca="1" ref="C68" ca="1">INDIRECT("'Asset Class Returns &amp; Weights'!AA"&amp;$A68)</f>
        <v>-0.82038765576752415</v>
      </c>
      <c r="D68" s="4">
        <f t="shared" ca="1" si="8"/>
        <v>0.99179612344232471</v>
      </c>
      <c r="E68" s="4">
        <f t="shared" ref="E68:E121" ca="1" si="12">E67*D68</f>
        <v>1.346372076624754</v>
      </c>
      <c r="F68" s="60">
        <f ca="1">'Asset Class Returns &amp; Weights'!$G$14*'(Bootstrap Simulation)'!E68</f>
        <v>202.73031035619937</v>
      </c>
      <c r="G68" s="74" cm="1">
        <f t="array" aca="1" ref="G68" ca="1">INDIRECT("'Asset Class Returns &amp; Weights'!AI"&amp;$A68)</f>
        <v>-8.6444444444444463E-2</v>
      </c>
      <c r="H68" s="4">
        <f t="shared" ca="1" si="9"/>
        <v>0.99913555555555555</v>
      </c>
      <c r="I68" s="4">
        <f t="shared" ref="I68:I121" ca="1" si="13">I67*H68</f>
        <v>0.98793854465704078</v>
      </c>
      <c r="J68" s="60">
        <f ca="1">'Asset Class Returns &amp; Weights'!$G$15*'(Bootstrap Simulation)'!I68</f>
        <v>148.94340901025069</v>
      </c>
      <c r="K68" s="63">
        <f t="shared" ca="1" si="10"/>
        <v>1.3611230715301199</v>
      </c>
      <c r="L68" s="58">
        <f t="shared" ca="1" si="11"/>
        <v>53.786901345948678</v>
      </c>
      <c r="N68">
        <f t="shared" si="7"/>
        <v>67</v>
      </c>
      <c r="O68" s="63">
        <v>1.4651088443727629</v>
      </c>
      <c r="P68" s="62">
        <v>68.293245258730025</v>
      </c>
    </row>
    <row r="69" spans="1:16" x14ac:dyDescent="0.2">
      <c r="A69" s="39">
        <f ca="1">RANDBETWEEN(ROW('Asset Class Returns &amp; Weights'!$A$23),ROW('Asset Class Returns &amp; Weights'!$A$166))</f>
        <v>133</v>
      </c>
      <c r="B69" s="56" cm="1">
        <f t="array" aca="1" ref="B69" ca="1">INDIRECT("'Asset Class Returns &amp; Weights'!A"&amp;$A69)</f>
        <v>45016</v>
      </c>
      <c r="C69" s="74" cm="1">
        <f t="array" aca="1" ref="C69" ca="1">INDIRECT("'Asset Class Returns &amp; Weights'!AA"&amp;$A69)</f>
        <v>-0.25809067214290327</v>
      </c>
      <c r="D69" s="4">
        <f t="shared" ca="1" si="8"/>
        <v>0.99741909327857092</v>
      </c>
      <c r="E69" s="4">
        <f t="shared" ca="1" si="12"/>
        <v>1.3428972158826487</v>
      </c>
      <c r="F69" s="60">
        <f ca="1">'Asset Class Returns &amp; Weights'!$G$14*'(Bootstrap Simulation)'!E69</f>
        <v>202.20708233556363</v>
      </c>
      <c r="G69" s="74" cm="1">
        <f t="array" aca="1" ref="G69" ca="1">INDIRECT("'Asset Class Returns &amp; Weights'!AI"&amp;$A69)</f>
        <v>8.5291666666666668E-2</v>
      </c>
      <c r="H69" s="4">
        <f t="shared" ca="1" si="9"/>
        <v>1.0008529166666666</v>
      </c>
      <c r="I69" s="4">
        <f t="shared" ca="1" si="13"/>
        <v>0.98878117390742115</v>
      </c>
      <c r="J69" s="60">
        <f ca="1">'Asset Class Returns &amp; Weights'!$G$15*'(Bootstrap Simulation)'!I69</f>
        <v>149.07044532618568</v>
      </c>
      <c r="K69" s="63">
        <f t="shared" ca="1" si="10"/>
        <v>1.3564531983057273</v>
      </c>
      <c r="L69" s="58">
        <f t="shared" ca="1" si="11"/>
        <v>53.136637009377949</v>
      </c>
      <c r="N69">
        <f t="shared" si="7"/>
        <v>68</v>
      </c>
      <c r="O69" s="63">
        <v>1.423105217390193</v>
      </c>
      <c r="P69" s="62">
        <v>61.220799061867666</v>
      </c>
    </row>
    <row r="70" spans="1:16" x14ac:dyDescent="0.2">
      <c r="A70" s="39">
        <f ca="1">RANDBETWEEN(ROW('Asset Class Returns &amp; Weights'!$A$23),ROW('Asset Class Returns &amp; Weights'!$A$166))</f>
        <v>126</v>
      </c>
      <c r="B70" s="56" cm="1">
        <f t="array" aca="1" ref="B70" ca="1">INDIRECT("'Asset Class Returns &amp; Weights'!A"&amp;$A70)</f>
        <v>44804</v>
      </c>
      <c r="C70" s="74" cm="1">
        <f t="array" aca="1" ref="C70" ca="1">INDIRECT("'Asset Class Returns &amp; Weights'!AA"&amp;$A70)</f>
        <v>-1.8267949190726551</v>
      </c>
      <c r="D70" s="4">
        <f t="shared" ca="1" si="8"/>
        <v>0.9817320508092735</v>
      </c>
      <c r="E70" s="4">
        <f t="shared" ca="1" si="12"/>
        <v>1.3183652377745363</v>
      </c>
      <c r="F70" s="60">
        <f ca="1">'Asset Class Returns &amp; Weights'!$G$14*'(Bootstrap Simulation)'!E70</f>
        <v>198.5131736294525</v>
      </c>
      <c r="G70" s="74" cm="1">
        <f t="array" aca="1" ref="G70" ca="1">INDIRECT("'Asset Class Returns &amp; Weights'!AI"&amp;$A70)</f>
        <v>-1.415277777777779E-2</v>
      </c>
      <c r="H70" s="4">
        <f t="shared" ca="1" si="9"/>
        <v>0.99985847222222224</v>
      </c>
      <c r="I70" s="4">
        <f t="shared" ca="1" si="13"/>
        <v>0.98864123390516956</v>
      </c>
      <c r="J70" s="60">
        <f ca="1">'Asset Class Returns &amp; Weights'!$G$15*'(Bootstrap Simulation)'!I70</f>
        <v>149.04934771732633</v>
      </c>
      <c r="K70" s="63">
        <f t="shared" ca="1" si="10"/>
        <v>1.3318620756793571</v>
      </c>
      <c r="L70" s="58">
        <f t="shared" ca="1" si="11"/>
        <v>49.463825912126168</v>
      </c>
      <c r="N70">
        <f t="shared" si="7"/>
        <v>69</v>
      </c>
      <c r="O70" s="63">
        <v>1.512902644605886</v>
      </c>
      <c r="P70" s="62">
        <v>75.247279733072304</v>
      </c>
    </row>
    <row r="71" spans="1:16" x14ac:dyDescent="0.2">
      <c r="A71" s="39">
        <f ca="1">RANDBETWEEN(ROW('Asset Class Returns &amp; Weights'!$A$23),ROW('Asset Class Returns &amp; Weights'!$A$166))</f>
        <v>98</v>
      </c>
      <c r="B71" s="56" cm="1">
        <f t="array" aca="1" ref="B71" ca="1">INDIRECT("'Asset Class Returns &amp; Weights'!A"&amp;$A71)</f>
        <v>43951</v>
      </c>
      <c r="C71" s="74" cm="1">
        <f t="array" aca="1" ref="C71" ca="1">INDIRECT("'Asset Class Returns &amp; Weights'!AA"&amp;$A71)</f>
        <v>4.5018822436456931</v>
      </c>
      <c r="D71" s="4">
        <f t="shared" ca="1" si="8"/>
        <v>1.0450188224364569</v>
      </c>
      <c r="E71" s="4">
        <f t="shared" ca="1" si="12"/>
        <v>1.3777164883203055</v>
      </c>
      <c r="F71" s="60">
        <f ca="1">'Asset Class Returns &amp; Weights'!$G$14*'(Bootstrap Simulation)'!E71</f>
        <v>207.45000294437438</v>
      </c>
      <c r="G71" s="74" cm="1">
        <f t="array" aca="1" ref="G71" ca="1">INDIRECT("'Asset Class Returns &amp; Weights'!AI"&amp;$A71)</f>
        <v>-0.14687500000000001</v>
      </c>
      <c r="H71" s="4">
        <f t="shared" ca="1" si="9"/>
        <v>0.99853124999999998</v>
      </c>
      <c r="I71" s="4">
        <f t="shared" ca="1" si="13"/>
        <v>0.9871891670928713</v>
      </c>
      <c r="J71" s="60">
        <f ca="1">'Asset Class Returns &amp; Weights'!$G$15*'(Bootstrap Simulation)'!I71</f>
        <v>148.83043148786652</v>
      </c>
      <c r="K71" s="63">
        <f t="shared" ca="1" si="10"/>
        <v>1.3938681818663332</v>
      </c>
      <c r="L71" s="58">
        <f t="shared" ca="1" si="11"/>
        <v>58.619571456507856</v>
      </c>
      <c r="N71">
        <f t="shared" si="7"/>
        <v>70</v>
      </c>
      <c r="O71" s="63">
        <v>1.3044356845121501</v>
      </c>
      <c r="P71" s="62">
        <v>44.772369264134596</v>
      </c>
    </row>
    <row r="72" spans="1:16" x14ac:dyDescent="0.2">
      <c r="A72" s="39">
        <f ca="1">RANDBETWEEN(ROW('Asset Class Returns &amp; Weights'!$A$23),ROW('Asset Class Returns &amp; Weights'!$A$166))</f>
        <v>38</v>
      </c>
      <c r="B72" s="56" cm="1">
        <f t="array" aca="1" ref="B72" ca="1">INDIRECT("'Asset Class Returns &amp; Weights'!A"&amp;$A72)</f>
        <v>41912</v>
      </c>
      <c r="C72" s="74" cm="1">
        <f t="array" aca="1" ref="C72" ca="1">INDIRECT("'Asset Class Returns &amp; Weights'!AA"&amp;$A72)</f>
        <v>-0.63321922178810008</v>
      </c>
      <c r="D72" s="4">
        <f t="shared" ca="1" si="8"/>
        <v>0.99366780778211905</v>
      </c>
      <c r="E72" s="4">
        <f t="shared" ca="1" si="12"/>
        <v>1.3689925226945174</v>
      </c>
      <c r="F72" s="60">
        <f ca="1">'Asset Class Returns &amp; Weights'!$G$14*'(Bootstrap Simulation)'!E72</f>
        <v>206.13638965013064</v>
      </c>
      <c r="G72" s="74" cm="1">
        <f t="array" aca="1" ref="G72" ca="1">INDIRECT("'Asset Class Returns &amp; Weights'!AI"&amp;$A72)</f>
        <v>6.1805555555555529E-3</v>
      </c>
      <c r="H72" s="4">
        <f t="shared" ca="1" si="9"/>
        <v>1.0000618055555555</v>
      </c>
      <c r="I72" s="4">
        <f t="shared" ca="1" si="13"/>
        <v>0.98725018086778182</v>
      </c>
      <c r="J72" s="60">
        <f ca="1">'Asset Class Returns &amp; Weights'!$G$15*'(Bootstrap Simulation)'!I72</f>
        <v>148.83963003536817</v>
      </c>
      <c r="K72" s="63">
        <f t="shared" ca="1" si="10"/>
        <v>1.3849563426161922</v>
      </c>
      <c r="L72" s="58">
        <f t="shared" ca="1" si="11"/>
        <v>57.296759614762465</v>
      </c>
      <c r="N72">
        <f t="shared" si="7"/>
        <v>71</v>
      </c>
      <c r="O72" s="63">
        <v>2.1282970017837992</v>
      </c>
      <c r="P72" s="62">
        <v>164.9903483421657</v>
      </c>
    </row>
    <row r="73" spans="1:16" x14ac:dyDescent="0.2">
      <c r="A73" s="39">
        <f ca="1">RANDBETWEEN(ROW('Asset Class Returns &amp; Weights'!$A$23),ROW('Asset Class Returns &amp; Weights'!$A$166))</f>
        <v>148</v>
      </c>
      <c r="B73" s="56" cm="1">
        <f t="array" aca="1" ref="B73" ca="1">INDIRECT("'Asset Class Returns &amp; Weights'!A"&amp;$A73)</f>
        <v>45473</v>
      </c>
      <c r="C73" s="74" cm="1">
        <f t="array" aca="1" ref="C73" ca="1">INDIRECT("'Asset Class Returns &amp; Weights'!AA"&amp;$A73)</f>
        <v>1.1607317321410837</v>
      </c>
      <c r="D73" s="4">
        <f t="shared" ca="1" si="8"/>
        <v>1.0116073173214108</v>
      </c>
      <c r="E73" s="4">
        <f t="shared" ca="1" si="12"/>
        <v>1.3848828533160715</v>
      </c>
      <c r="F73" s="60">
        <f ca="1">'Asset Class Returns &amp; Weights'!$G$14*'(Bootstrap Simulation)'!E73</f>
        <v>208.52908013628971</v>
      </c>
      <c r="G73" s="74" cm="1">
        <f t="array" aca="1" ref="G73" ca="1">INDIRECT("'Asset Class Returns &amp; Weights'!AI"&amp;$A73)</f>
        <v>0.13587500000000002</v>
      </c>
      <c r="H73" s="4">
        <f t="shared" ca="1" si="9"/>
        <v>1.0013587500000001</v>
      </c>
      <c r="I73" s="4">
        <f t="shared" ca="1" si="13"/>
        <v>0.98859160705103599</v>
      </c>
      <c r="J73" s="60">
        <f ca="1">'Asset Class Returns &amp; Weights'!$G$15*'(Bootstrap Simulation)'!I73</f>
        <v>149.04186588267874</v>
      </c>
      <c r="K73" s="63">
        <f t="shared" ca="1" si="10"/>
        <v>1.3991309012491666</v>
      </c>
      <c r="L73" s="58">
        <f t="shared" ca="1" si="11"/>
        <v>59.487214253610972</v>
      </c>
      <c r="N73">
        <f t="shared" si="7"/>
        <v>72</v>
      </c>
      <c r="O73" s="63">
        <v>1.6595762368318121</v>
      </c>
      <c r="P73" s="62">
        <v>98.981104417187254</v>
      </c>
    </row>
    <row r="74" spans="1:16" x14ac:dyDescent="0.2">
      <c r="A74" s="39">
        <f ca="1">RANDBETWEEN(ROW('Asset Class Returns &amp; Weights'!$A$23),ROW('Asset Class Returns &amp; Weights'!$A$166))</f>
        <v>62</v>
      </c>
      <c r="B74" s="56" cm="1">
        <f t="array" aca="1" ref="B74" ca="1">INDIRECT("'Asset Class Returns &amp; Weights'!A"&amp;$A74)</f>
        <v>42643</v>
      </c>
      <c r="C74" s="74" cm="1">
        <f t="array" aca="1" ref="C74" ca="1">INDIRECT("'Asset Class Returns &amp; Weights'!AA"&amp;$A74)</f>
        <v>0.3941440510082177</v>
      </c>
      <c r="D74" s="4">
        <f t="shared" ca="1" si="8"/>
        <v>1.0039414405100822</v>
      </c>
      <c r="E74" s="4">
        <f t="shared" ca="1" si="12"/>
        <v>1.3903412866958496</v>
      </c>
      <c r="F74" s="60">
        <f ca="1">'Asset Class Returns &amp; Weights'!$G$14*'(Bootstrap Simulation)'!E74</f>
        <v>209.35098510026901</v>
      </c>
      <c r="G74" s="74" cm="1">
        <f t="array" aca="1" ref="G74" ca="1">INDIRECT("'Asset Class Returns &amp; Weights'!AI"&amp;$A74)</f>
        <v>-0.11730555555555558</v>
      </c>
      <c r="H74" s="4">
        <f t="shared" ca="1" si="9"/>
        <v>0.99882694444444442</v>
      </c>
      <c r="I74" s="4">
        <f t="shared" ca="1" si="13"/>
        <v>0.98743193417420916</v>
      </c>
      <c r="J74" s="60">
        <f ca="1">'Asset Class Returns &amp; Weights'!$G$15*'(Bootstrap Simulation)'!I74</f>
        <v>148.8670314938947</v>
      </c>
      <c r="K74" s="63">
        <f t="shared" ca="1" si="10"/>
        <v>1.406295154806354</v>
      </c>
      <c r="L74" s="58">
        <f t="shared" ca="1" si="11"/>
        <v>60.483953606374314</v>
      </c>
      <c r="N74">
        <f t="shared" si="7"/>
        <v>73</v>
      </c>
      <c r="O74" s="63">
        <v>1.7065815723682227</v>
      </c>
      <c r="P74" s="62">
        <v>104.37586911991178</v>
      </c>
    </row>
    <row r="75" spans="1:16" x14ac:dyDescent="0.2">
      <c r="A75" s="39">
        <f ca="1">RANDBETWEEN(ROW('Asset Class Returns &amp; Weights'!$A$23),ROW('Asset Class Returns &amp; Weights'!$A$166))</f>
        <v>137</v>
      </c>
      <c r="B75" s="56" cm="1">
        <f t="array" aca="1" ref="B75" ca="1">INDIRECT("'Asset Class Returns &amp; Weights'!A"&amp;$A75)</f>
        <v>45138</v>
      </c>
      <c r="C75" s="74" cm="1">
        <f t="array" aca="1" ref="C75" ca="1">INDIRECT("'Asset Class Returns &amp; Weights'!AA"&amp;$A75)</f>
        <v>1.9636320377819911</v>
      </c>
      <c r="D75" s="4">
        <f t="shared" ca="1" si="8"/>
        <v>1.0196363203778198</v>
      </c>
      <c r="E75" s="4">
        <f t="shared" ca="1" si="12"/>
        <v>1.4176424736359194</v>
      </c>
      <c r="F75" s="60">
        <f ca="1">'Asset Class Returns &amp; Weights'!$G$14*'(Bootstrap Simulation)'!E75</f>
        <v>213.46186811511009</v>
      </c>
      <c r="G75" s="74" cm="1">
        <f t="array" aca="1" ref="G75" ca="1">INDIRECT("'Asset Class Returns &amp; Weights'!AI"&amp;$A75)</f>
        <v>0.15680555555555556</v>
      </c>
      <c r="H75" s="4">
        <f t="shared" ca="1" si="9"/>
        <v>1.0015680555555555</v>
      </c>
      <c r="I75" s="4">
        <f t="shared" ca="1" si="13"/>
        <v>0.98898028230432389</v>
      </c>
      <c r="J75" s="60">
        <f ca="1">'Asset Class Returns &amp; Weights'!$G$15*'(Bootstrap Simulation)'!I75</f>
        <v>149.10046326966776</v>
      </c>
      <c r="K75" s="63">
        <f t="shared" ca="1" si="10"/>
        <v>1.4316646872453795</v>
      </c>
      <c r="L75" s="58">
        <f t="shared" ca="1" si="11"/>
        <v>64.361404845442337</v>
      </c>
      <c r="N75">
        <f t="shared" si="7"/>
        <v>74</v>
      </c>
      <c r="O75" s="63">
        <v>1.8526835628531626</v>
      </c>
      <c r="P75" s="62">
        <v>125.58401413911599</v>
      </c>
    </row>
    <row r="76" spans="1:16" x14ac:dyDescent="0.2">
      <c r="A76" s="39">
        <f ca="1">RANDBETWEEN(ROW('Asset Class Returns &amp; Weights'!$A$23),ROW('Asset Class Returns &amp; Weights'!$A$166))</f>
        <v>121</v>
      </c>
      <c r="B76" s="56" cm="1">
        <f t="array" aca="1" ref="B76" ca="1">INDIRECT("'Asset Class Returns &amp; Weights'!A"&amp;$A76)</f>
        <v>44651</v>
      </c>
      <c r="C76" s="74" cm="1">
        <f t="array" aca="1" ref="C76" ca="1">INDIRECT("'Asset Class Returns &amp; Weights'!AA"&amp;$A76)</f>
        <v>1.9965489332311821</v>
      </c>
      <c r="D76" s="4">
        <f t="shared" ca="1" si="8"/>
        <v>1.0199654893323118</v>
      </c>
      <c r="E76" s="4">
        <f t="shared" ca="1" si="12"/>
        <v>1.4459463993203294</v>
      </c>
      <c r="F76" s="60">
        <f ca="1">'Asset Class Returns &amp; Weights'!$G$14*'(Bootstrap Simulation)'!E76</f>
        <v>217.72373876581764</v>
      </c>
      <c r="G76" s="74" cm="1">
        <f t="array" aca="1" ref="G76" ca="1">INDIRECT("'Asset Class Returns &amp; Weights'!AI"&amp;$A76)</f>
        <v>-0.14195833333333333</v>
      </c>
      <c r="H76" s="4">
        <f t="shared" ca="1" si="9"/>
        <v>0.99858041666666664</v>
      </c>
      <c r="I76" s="4">
        <f t="shared" ca="1" si="13"/>
        <v>0.98757634237856939</v>
      </c>
      <c r="J76" s="60">
        <f ca="1">'Asset Class Returns &amp; Weights'!$G$15*'(Bootstrap Simulation)'!I76</f>
        <v>148.88880273701784</v>
      </c>
      <c r="K76" s="63">
        <f t="shared" ca="1" si="10"/>
        <v>1.4623244647240725</v>
      </c>
      <c r="L76" s="58">
        <f t="shared" ca="1" si="11"/>
        <v>68.834936028799802</v>
      </c>
      <c r="N76">
        <f t="shared" si="7"/>
        <v>75</v>
      </c>
      <c r="O76" s="63">
        <v>1.9093683740295542</v>
      </c>
      <c r="P76" s="62">
        <v>136.67986021838072</v>
      </c>
    </row>
    <row r="77" spans="1:16" x14ac:dyDescent="0.2">
      <c r="A77" s="39">
        <f ca="1">RANDBETWEEN(ROW('Asset Class Returns &amp; Weights'!$A$23),ROW('Asset Class Returns &amp; Weights'!$A$166))</f>
        <v>166</v>
      </c>
      <c r="B77" s="56" cm="1">
        <f t="array" aca="1" ref="B77" ca="1">INDIRECT("'Asset Class Returns &amp; Weights'!A"&amp;$A77)</f>
        <v>46022</v>
      </c>
      <c r="C77" s="74" cm="1">
        <f t="array" aca="1" ref="C77" ca="1">INDIRECT("'Asset Class Returns &amp; Weights'!AA"&amp;$A77)</f>
        <v>0.64991632276644051</v>
      </c>
      <c r="D77" s="4">
        <f t="shared" ca="1" si="8"/>
        <v>1.0064991632276643</v>
      </c>
      <c r="E77" s="4">
        <f t="shared" ca="1" si="12"/>
        <v>1.4553438409879658</v>
      </c>
      <c r="F77" s="60">
        <f ca="1">'Asset Class Returns &amp; Weights'!$G$14*'(Bootstrap Simulation)'!E77</f>
        <v>219.13876088259406</v>
      </c>
      <c r="G77" s="74" cm="1">
        <f t="array" aca="1" ref="G77" ca="1">INDIRECT("'Asset Class Returns &amp; Weights'!AI"&amp;$A77)</f>
        <v>0.19075</v>
      </c>
      <c r="H77" s="4">
        <f t="shared" ca="1" si="9"/>
        <v>1.0019075</v>
      </c>
      <c r="I77" s="4">
        <f t="shared" ca="1" si="13"/>
        <v>0.98946014425165651</v>
      </c>
      <c r="J77" s="60">
        <f ca="1">'Asset Class Returns &amp; Weights'!$G$15*'(Bootstrap Simulation)'!I77</f>
        <v>149.1728081282387</v>
      </c>
      <c r="K77" s="63">
        <f t="shared" ca="1" si="10"/>
        <v>1.4690261826686808</v>
      </c>
      <c r="L77" s="58">
        <f t="shared" ca="1" si="11"/>
        <v>69.965952754355357</v>
      </c>
      <c r="N77">
        <f t="shared" si="7"/>
        <v>76</v>
      </c>
      <c r="O77" s="63">
        <v>1.3906906658533744</v>
      </c>
      <c r="P77" s="62">
        <v>56.970733482221931</v>
      </c>
    </row>
    <row r="78" spans="1:16" x14ac:dyDescent="0.2">
      <c r="A78" s="39">
        <f ca="1">RANDBETWEEN(ROW('Asset Class Returns &amp; Weights'!$A$23),ROW('Asset Class Returns &amp; Weights'!$A$166))</f>
        <v>70</v>
      </c>
      <c r="B78" s="56" cm="1">
        <f t="array" aca="1" ref="B78" ca="1">INDIRECT("'Asset Class Returns &amp; Weights'!A"&amp;$A78)</f>
        <v>42886</v>
      </c>
      <c r="C78" s="74" cm="1">
        <f t="array" aca="1" ref="C78" ca="1">INDIRECT("'Asset Class Returns &amp; Weights'!AA"&amp;$A78)</f>
        <v>1.8101887790863302</v>
      </c>
      <c r="D78" s="4">
        <f t="shared" ca="1" si="8"/>
        <v>1.0181018877908632</v>
      </c>
      <c r="E78" s="4">
        <f t="shared" ca="1" si="12"/>
        <v>1.4816883118946538</v>
      </c>
      <c r="F78" s="60">
        <f ca="1">'Asset Class Returns &amp; Weights'!$G$14*'(Bootstrap Simulation)'!E78</f>
        <v>223.10558614271957</v>
      </c>
      <c r="G78" s="74" cm="1">
        <f t="array" aca="1" ref="G78" ca="1">INDIRECT("'Asset Class Returns &amp; Weights'!AI"&amp;$A78)</f>
        <v>-0.11420833333333333</v>
      </c>
      <c r="H78" s="4">
        <f t="shared" ca="1" si="9"/>
        <v>0.99885791666666668</v>
      </c>
      <c r="I78" s="4">
        <f t="shared" ca="1" si="13"/>
        <v>0.9883300983119091</v>
      </c>
      <c r="J78" s="60">
        <f ca="1">'Asset Class Returns &amp; Weights'!$G$15*'(Bootstrap Simulation)'!I78</f>
        <v>149.00244035028891</v>
      </c>
      <c r="K78" s="63">
        <f t="shared" ca="1" si="10"/>
        <v>1.4973284036034715</v>
      </c>
      <c r="L78" s="58">
        <f t="shared" ca="1" si="11"/>
        <v>74.103145792430666</v>
      </c>
      <c r="N78">
        <f t="shared" si="7"/>
        <v>77</v>
      </c>
      <c r="O78" s="63">
        <v>0.73408224985146242</v>
      </c>
      <c r="P78" s="62">
        <v>-39.503492367320959</v>
      </c>
    </row>
    <row r="79" spans="1:16" x14ac:dyDescent="0.2">
      <c r="A79" s="39">
        <f ca="1">RANDBETWEEN(ROW('Asset Class Returns &amp; Weights'!$A$23),ROW('Asset Class Returns &amp; Weights'!$A$166))</f>
        <v>64</v>
      </c>
      <c r="B79" s="56" cm="1">
        <f t="array" aca="1" ref="B79" ca="1">INDIRECT("'Asset Class Returns &amp; Weights'!A"&amp;$A79)</f>
        <v>42704</v>
      </c>
      <c r="C79" s="74" cm="1">
        <f t="array" aca="1" ref="C79" ca="1">INDIRECT("'Asset Class Returns &amp; Weights'!AA"&amp;$A79)</f>
        <v>-0.93339874585644023</v>
      </c>
      <c r="D79" s="4">
        <f t="shared" ca="1" si="8"/>
        <v>0.9906660125414356</v>
      </c>
      <c r="E79" s="4">
        <f t="shared" ca="1" si="12"/>
        <v>1.4678582517739276</v>
      </c>
      <c r="F79" s="60">
        <f ca="1">'Asset Class Returns &amp; Weights'!$G$14*'(Bootstrap Simulation)'!E79</f>
        <v>221.02312139972776</v>
      </c>
      <c r="G79" s="74" cm="1">
        <f t="array" aca="1" ref="G79" ca="1">INDIRECT("'Asset Class Returns &amp; Weights'!AI"&amp;$A79)</f>
        <v>-9.3138888888888896E-2</v>
      </c>
      <c r="H79" s="4">
        <f t="shared" ca="1" si="9"/>
        <v>0.99906861111111112</v>
      </c>
      <c r="I79" s="4">
        <f t="shared" ca="1" si="13"/>
        <v>0.98740957863978696</v>
      </c>
      <c r="J79" s="60">
        <f ca="1">'Asset Class Returns &amp; Weights'!$G$15*'(Bootstrap Simulation)'!I79</f>
        <v>148.86366113292934</v>
      </c>
      <c r="K79" s="63">
        <f t="shared" ca="1" si="10"/>
        <v>1.4847352249543486</v>
      </c>
      <c r="L79" s="58">
        <f t="shared" ca="1" si="11"/>
        <v>72.159460266798419</v>
      </c>
      <c r="N79">
        <f t="shared" si="7"/>
        <v>78</v>
      </c>
      <c r="O79" s="63">
        <v>1.5538934098039789</v>
      </c>
      <c r="P79" s="62">
        <v>81.10583263573551</v>
      </c>
    </row>
    <row r="80" spans="1:16" x14ac:dyDescent="0.2">
      <c r="A80" s="39">
        <f ca="1">RANDBETWEEN(ROW('Asset Class Returns &amp; Weights'!$A$23),ROW('Asset Class Returns &amp; Weights'!$A$166))</f>
        <v>89</v>
      </c>
      <c r="B80" s="56" cm="1">
        <f t="array" aca="1" ref="B80" ca="1">INDIRECT("'Asset Class Returns &amp; Weights'!A"&amp;$A80)</f>
        <v>43465</v>
      </c>
      <c r="C80" s="74" cm="1">
        <f t="array" aca="1" ref="C80" ca="1">INDIRECT("'Asset Class Returns &amp; Weights'!AA"&amp;$A80)</f>
        <v>-2.5046976641667626</v>
      </c>
      <c r="D80" s="4">
        <f t="shared" ca="1" si="8"/>
        <v>0.97495302335833234</v>
      </c>
      <c r="E80" s="4">
        <f t="shared" ca="1" si="12"/>
        <v>1.4310928404284669</v>
      </c>
      <c r="F80" s="60">
        <f ca="1">'Asset Class Returns &amp; Weights'!$G$14*'(Bootstrap Simulation)'!E80</f>
        <v>215.48716044076031</v>
      </c>
      <c r="G80" s="74" cm="1">
        <f t="array" aca="1" ref="G80" ca="1">INDIRECT("'Asset Class Returns &amp; Weights'!AI"&amp;$A80)</f>
        <v>-9.852777777777777E-2</v>
      </c>
      <c r="H80" s="4">
        <f t="shared" ca="1" si="9"/>
        <v>0.99901472222222221</v>
      </c>
      <c r="I80" s="4">
        <f t="shared" ca="1" si="13"/>
        <v>0.98643670592438826</v>
      </c>
      <c r="J80" s="60">
        <f ca="1">'Asset Class Returns &amp; Weights'!$G$15*'(Bootstrap Simulation)'!I80</f>
        <v>148.71698907569643</v>
      </c>
      <c r="K80" s="63">
        <f t="shared" ca="1" si="10"/>
        <v>1.4489747390668197</v>
      </c>
      <c r="L80" s="58">
        <f t="shared" ca="1" si="11"/>
        <v>66.770171365063874</v>
      </c>
      <c r="N80">
        <f t="shared" si="7"/>
        <v>79</v>
      </c>
      <c r="O80" s="63">
        <v>1.7199778439751925</v>
      </c>
      <c r="P80" s="62">
        <v>106.49106939810196</v>
      </c>
    </row>
    <row r="81" spans="1:16" x14ac:dyDescent="0.2">
      <c r="A81" s="39">
        <f ca="1">RANDBETWEEN(ROW('Asset Class Returns &amp; Weights'!$A$23),ROW('Asset Class Returns &amp; Weights'!$A$166))</f>
        <v>49</v>
      </c>
      <c r="B81" s="56" cm="1">
        <f t="array" aca="1" ref="B81" ca="1">INDIRECT("'Asset Class Returns &amp; Weights'!A"&amp;$A81)</f>
        <v>42247</v>
      </c>
      <c r="C81" s="74" cm="1">
        <f t="array" aca="1" ref="C81" ca="1">INDIRECT("'Asset Class Returns &amp; Weights'!AA"&amp;$A81)</f>
        <v>-2.9682787226250409</v>
      </c>
      <c r="D81" s="4">
        <f t="shared" ca="1" si="8"/>
        <v>0.9703172127737496</v>
      </c>
      <c r="E81" s="4">
        <f t="shared" ca="1" si="12"/>
        <v>1.3886140161450184</v>
      </c>
      <c r="F81" s="60">
        <f ca="1">'Asset Class Returns &amp; Weights'!$G$14*'(Bootstrap Simulation)'!E81</f>
        <v>209.09090090740833</v>
      </c>
      <c r="G81" s="74" cm="1">
        <f t="array" aca="1" ref="G81" ca="1">INDIRECT("'Asset Class Returns &amp; Weights'!AI"&amp;$A81)</f>
        <v>-1.848611111111112E-2</v>
      </c>
      <c r="H81" s="4">
        <f t="shared" ca="1" si="9"/>
        <v>0.99981513888888884</v>
      </c>
      <c r="I81" s="4">
        <f t="shared" ca="1" si="13"/>
        <v>0.98625435213889023</v>
      </c>
      <c r="J81" s="60">
        <f ca="1">'Asset Class Returns &amp; Weights'!$G$15*'(Bootstrap Simulation)'!I81</f>
        <v>148.68949708785479</v>
      </c>
      <c r="K81" s="63">
        <f t="shared" ca="1" si="10"/>
        <v>1.4062250865228545</v>
      </c>
      <c r="L81" s="58">
        <f t="shared" ca="1" si="11"/>
        <v>60.401403819553536</v>
      </c>
      <c r="N81">
        <f t="shared" si="7"/>
        <v>80</v>
      </c>
      <c r="O81" s="63">
        <v>1.0429831456684204</v>
      </c>
      <c r="P81" s="62">
        <v>6.3390054554471078</v>
      </c>
    </row>
    <row r="82" spans="1:16" x14ac:dyDescent="0.2">
      <c r="A82" s="39">
        <f ca="1">RANDBETWEEN(ROW('Asset Class Returns &amp; Weights'!$A$23),ROW('Asset Class Returns &amp; Weights'!$A$166))</f>
        <v>86</v>
      </c>
      <c r="B82" s="56" cm="1">
        <f t="array" aca="1" ref="B82" ca="1">INDIRECT("'Asset Class Returns &amp; Weights'!A"&amp;$A82)</f>
        <v>43373</v>
      </c>
      <c r="C82" s="74" cm="1">
        <f t="array" aca="1" ref="C82" ca="1">INDIRECT("'Asset Class Returns &amp; Weights'!AA"&amp;$A82)</f>
        <v>4.5162099813618559E-2</v>
      </c>
      <c r="D82" s="4">
        <f t="shared" ca="1" si="8"/>
        <v>1.0004516209981362</v>
      </c>
      <c r="E82" s="4">
        <f t="shared" ca="1" si="12"/>
        <v>1.3892411433930159</v>
      </c>
      <c r="F82" s="60">
        <f ca="1">'Asset Class Returns &amp; Weights'!$G$14*'(Bootstrap Simulation)'!E82</f>
        <v>209.18533074877735</v>
      </c>
      <c r="G82" s="74" cm="1">
        <f t="array" aca="1" ref="G82" ca="1">INDIRECT("'Asset Class Returns &amp; Weights'!AI"&amp;$A82)</f>
        <v>-8.1972222222222238E-2</v>
      </c>
      <c r="H82" s="4">
        <f t="shared" ca="1" si="9"/>
        <v>0.99918027777777774</v>
      </c>
      <c r="I82" s="4">
        <f t="shared" ca="1" si="13"/>
        <v>0.98544589752967859</v>
      </c>
      <c r="J82" s="60">
        <f ca="1">'Asset Class Returns &amp; Weights'!$G$15*'(Bootstrap Simulation)'!I82</f>
        <v>148.56761300288082</v>
      </c>
      <c r="K82" s="63">
        <f t="shared" ca="1" si="10"/>
        <v>1.4080143479502569</v>
      </c>
      <c r="L82" s="58">
        <f t="shared" ca="1" si="11"/>
        <v>60.617717745896528</v>
      </c>
      <c r="N82">
        <f t="shared" si="7"/>
        <v>81</v>
      </c>
      <c r="O82" s="63">
        <v>1.8411202763743155</v>
      </c>
      <c r="P82" s="62">
        <v>124.07207256528062</v>
      </c>
    </row>
    <row r="83" spans="1:16" x14ac:dyDescent="0.2">
      <c r="A83" s="39">
        <f ca="1">RANDBETWEEN(ROW('Asset Class Returns &amp; Weights'!$A$23),ROW('Asset Class Returns &amp; Weights'!$A$166))</f>
        <v>70</v>
      </c>
      <c r="B83" s="56" cm="1">
        <f t="array" aca="1" ref="B83" ca="1">INDIRECT("'Asset Class Returns &amp; Weights'!A"&amp;$A83)</f>
        <v>42886</v>
      </c>
      <c r="C83" s="74" cm="1">
        <f t="array" aca="1" ref="C83" ca="1">INDIRECT("'Asset Class Returns &amp; Weights'!AA"&amp;$A83)</f>
        <v>1.8101887790863302</v>
      </c>
      <c r="D83" s="4">
        <f t="shared" ca="1" si="8"/>
        <v>1.0181018877908632</v>
      </c>
      <c r="E83" s="4">
        <f t="shared" ca="1" si="12"/>
        <v>1.4143890306851667</v>
      </c>
      <c r="F83" s="60">
        <f ca="1">'Asset Class Returns &amp; Weights'!$G$14*'(Bootstrap Simulation)'!E83</f>
        <v>212.97198013348634</v>
      </c>
      <c r="G83" s="74" cm="1">
        <f t="array" aca="1" ref="G83" ca="1">INDIRECT("'Asset Class Returns &amp; Weights'!AI"&amp;$A83)</f>
        <v>-0.11420833333333333</v>
      </c>
      <c r="H83" s="4">
        <f t="shared" ca="1" si="9"/>
        <v>0.99885791666666668</v>
      </c>
      <c r="I83" s="4">
        <f t="shared" ca="1" si="13"/>
        <v>0.98432043619420828</v>
      </c>
      <c r="J83" s="60">
        <f ca="1">'Asset Class Returns &amp; Weights'!$G$15*'(Bootstrap Simulation)'!I83</f>
        <v>148.39793640819713</v>
      </c>
      <c r="K83" s="63">
        <f t="shared" ca="1" si="10"/>
        <v>1.4351411164348395</v>
      </c>
      <c r="L83" s="58">
        <f t="shared" ca="1" si="11"/>
        <v>64.574043725289215</v>
      </c>
      <c r="N83">
        <f t="shared" si="7"/>
        <v>82</v>
      </c>
      <c r="O83" s="63">
        <v>2.8931802958364603</v>
      </c>
      <c r="P83" s="62">
        <v>277.74572393121053</v>
      </c>
    </row>
    <row r="84" spans="1:16" x14ac:dyDescent="0.2">
      <c r="A84" s="39">
        <f ca="1">RANDBETWEEN(ROW('Asset Class Returns &amp; Weights'!$A$23),ROW('Asset Class Returns &amp; Weights'!$A$166))</f>
        <v>58</v>
      </c>
      <c r="B84" s="56" cm="1">
        <f t="array" aca="1" ref="B84" ca="1">INDIRECT("'Asset Class Returns &amp; Weights'!A"&amp;$A84)</f>
        <v>42521</v>
      </c>
      <c r="C84" s="74" cm="1">
        <f t="array" aca="1" ref="C84" ca="1">INDIRECT("'Asset Class Returns &amp; Weights'!AA"&amp;$A84)</f>
        <v>0.80909571022157933</v>
      </c>
      <c r="D84" s="4">
        <f t="shared" ca="1" si="8"/>
        <v>1.0080909571022159</v>
      </c>
      <c r="E84" s="4">
        <f t="shared" ca="1" si="12"/>
        <v>1.4258327916582851</v>
      </c>
      <c r="F84" s="60">
        <f ca="1">'Asset Class Returns &amp; Weights'!$G$14*'(Bootstrap Simulation)'!E84</f>
        <v>214.69512728872033</v>
      </c>
      <c r="G84" s="74" cm="1">
        <f t="array" aca="1" ref="G84" ca="1">INDIRECT("'Asset Class Returns &amp; Weights'!AI"&amp;$A84)</f>
        <v>-4.0472222222222229E-2</v>
      </c>
      <c r="H84" s="4">
        <f t="shared" ca="1" si="9"/>
        <v>0.99959527777777779</v>
      </c>
      <c r="I84" s="4">
        <f t="shared" ca="1" si="13"/>
        <v>0.983922059839893</v>
      </c>
      <c r="J84" s="60">
        <f ca="1">'Asset Class Returns &amp; Weights'!$G$15*'(Bootstrap Simulation)'!I84</f>
        <v>148.3378764656008</v>
      </c>
      <c r="K84" s="63">
        <f t="shared" ca="1" si="10"/>
        <v>1.4473385517184993</v>
      </c>
      <c r="L84" s="58">
        <f t="shared" ca="1" si="11"/>
        <v>66.357250823119529</v>
      </c>
      <c r="N84">
        <f t="shared" si="7"/>
        <v>83</v>
      </c>
      <c r="O84" s="63">
        <v>2.1641751921606751</v>
      </c>
      <c r="P84" s="62">
        <v>170.28150510943965</v>
      </c>
    </row>
    <row r="85" spans="1:16" x14ac:dyDescent="0.2">
      <c r="A85" s="39">
        <f ca="1">RANDBETWEEN(ROW('Asset Class Returns &amp; Weights'!$A$23),ROW('Asset Class Returns &amp; Weights'!$A$166))</f>
        <v>111</v>
      </c>
      <c r="B85" s="56" cm="1">
        <f t="array" aca="1" ref="B85" ca="1">INDIRECT("'Asset Class Returns &amp; Weights'!A"&amp;$A85)</f>
        <v>44347</v>
      </c>
      <c r="C85" s="74" cm="1">
        <f t="array" aca="1" ref="C85" ca="1">INDIRECT("'Asset Class Returns &amp; Weights'!AA"&amp;$A85)</f>
        <v>0.25176219913533959</v>
      </c>
      <c r="D85" s="4">
        <f t="shared" ca="1" si="8"/>
        <v>1.0025176219913534</v>
      </c>
      <c r="E85" s="4">
        <f t="shared" ca="1" si="12"/>
        <v>1.4294224996505569</v>
      </c>
      <c r="F85" s="60">
        <f ca="1">'Asset Class Returns &amp; Weights'!$G$14*'(Bootstrap Simulation)'!E85</f>
        <v>215.23564846261885</v>
      </c>
      <c r="G85" s="74" cm="1">
        <f t="array" aca="1" ref="G85" ca="1">INDIRECT("'Asset Class Returns &amp; Weights'!AI"&amp;$A85)</f>
        <v>-0.15802777777777779</v>
      </c>
      <c r="H85" s="4">
        <f t="shared" ca="1" si="9"/>
        <v>0.99841972222222219</v>
      </c>
      <c r="I85" s="4">
        <f t="shared" ca="1" si="13"/>
        <v>0.98236718967366266</v>
      </c>
      <c r="J85" s="60">
        <f ca="1">'Asset Class Returns &amp; Weights'!$G$15*'(Bootstrap Simulation)'!I85</f>
        <v>148.10346141581945</v>
      </c>
      <c r="K85" s="63">
        <f t="shared" ca="1" si="10"/>
        <v>1.4532789875742147</v>
      </c>
      <c r="L85" s="58">
        <f t="shared" ca="1" si="11"/>
        <v>67.132187046799402</v>
      </c>
      <c r="N85">
        <f t="shared" si="7"/>
        <v>84</v>
      </c>
      <c r="O85" s="63">
        <v>1.5939375187398466</v>
      </c>
      <c r="P85" s="62">
        <v>87.497496507839003</v>
      </c>
    </row>
    <row r="86" spans="1:16" x14ac:dyDescent="0.2">
      <c r="A86" s="39">
        <f ca="1">RANDBETWEEN(ROW('Asset Class Returns &amp; Weights'!$A$23),ROW('Asset Class Returns &amp; Weights'!$A$166))</f>
        <v>164</v>
      </c>
      <c r="B86" s="56" cm="1">
        <f t="array" aca="1" ref="B86" ca="1">INDIRECT("'Asset Class Returns &amp; Weights'!A"&amp;$A86)</f>
        <v>45961</v>
      </c>
      <c r="C86" s="74" cm="1">
        <f t="array" aca="1" ref="C86" ca="1">INDIRECT("'Asset Class Returns &amp; Weights'!AA"&amp;$A86)</f>
        <v>2.6303236664701828</v>
      </c>
      <c r="D86" s="4">
        <f t="shared" ca="1" si="8"/>
        <v>1.0263032366647018</v>
      </c>
      <c r="E86" s="4">
        <f t="shared" ca="1" si="12"/>
        <v>1.467020937952715</v>
      </c>
      <c r="F86" s="60">
        <f ca="1">'Asset Class Returns &amp; Weights'!$G$14*'(Bootstrap Simulation)'!E86</f>
        <v>220.89704266281166</v>
      </c>
      <c r="G86" s="74" cm="1">
        <f t="array" aca="1" ref="G86" ca="1">INDIRECT("'Asset Class Returns &amp; Weights'!AI"&amp;$A86)</f>
        <v>0.18706944444444445</v>
      </c>
      <c r="H86" s="4">
        <f t="shared" ca="1" si="9"/>
        <v>1.0018706944444444</v>
      </c>
      <c r="I86" s="4">
        <f t="shared" ca="1" si="13"/>
        <v>0.98420489851778969</v>
      </c>
      <c r="J86" s="60">
        <f ca="1">'Asset Class Returns &amp; Weights'!$G$15*'(Bootstrap Simulation)'!I86</f>
        <v>148.38051773829304</v>
      </c>
      <c r="K86" s="63">
        <f t="shared" ca="1" si="10"/>
        <v>1.4887199885123736</v>
      </c>
      <c r="L86" s="58">
        <f t="shared" ca="1" si="11"/>
        <v>72.51652492451862</v>
      </c>
      <c r="N86">
        <f t="shared" si="7"/>
        <v>85</v>
      </c>
      <c r="O86" s="63">
        <v>1.7084346810383249</v>
      </c>
      <c r="P86" s="62">
        <v>105.03924964112096</v>
      </c>
    </row>
    <row r="87" spans="1:16" x14ac:dyDescent="0.2">
      <c r="A87" s="39">
        <f ca="1">RANDBETWEEN(ROW('Asset Class Returns &amp; Weights'!$A$23),ROW('Asset Class Returns &amp; Weights'!$A$166))</f>
        <v>148</v>
      </c>
      <c r="B87" s="56" cm="1">
        <f t="array" aca="1" ref="B87" ca="1">INDIRECT("'Asset Class Returns &amp; Weights'!A"&amp;$A87)</f>
        <v>45473</v>
      </c>
      <c r="C87" s="74" cm="1">
        <f t="array" aca="1" ref="C87" ca="1">INDIRECT("'Asset Class Returns &amp; Weights'!AA"&amp;$A87)</f>
        <v>1.1607317321410837</v>
      </c>
      <c r="D87" s="4">
        <f t="shared" ca="1" si="8"/>
        <v>1.0116073173214108</v>
      </c>
      <c r="E87" s="4">
        <f t="shared" ca="1" si="12"/>
        <v>1.4840491154966859</v>
      </c>
      <c r="F87" s="60">
        <f ca="1">'Asset Class Returns &amp; Weights'!$G$14*'(Bootstrap Simulation)'!E87</f>
        <v>223.46106473236014</v>
      </c>
      <c r="G87" s="74" cm="1">
        <f t="array" aca="1" ref="G87" ca="1">INDIRECT("'Asset Class Returns &amp; Weights'!AI"&amp;$A87)</f>
        <v>0.13587500000000002</v>
      </c>
      <c r="H87" s="4">
        <f t="shared" ca="1" si="9"/>
        <v>1.0013587500000001</v>
      </c>
      <c r="I87" s="4">
        <f t="shared" ca="1" si="13"/>
        <v>0.98554218692365081</v>
      </c>
      <c r="J87" s="60">
        <f ca="1">'Asset Class Returns &amp; Weights'!$G$15*'(Bootstrap Simulation)'!I87</f>
        <v>148.58212976676995</v>
      </c>
      <c r="K87" s="63">
        <f t="shared" ca="1" si="10"/>
        <v>1.5039565328827094</v>
      </c>
      <c r="L87" s="58">
        <f t="shared" ca="1" si="11"/>
        <v>74.87893496559019</v>
      </c>
      <c r="N87">
        <f t="shared" si="7"/>
        <v>86</v>
      </c>
      <c r="O87" s="63">
        <v>1.3407208960660677</v>
      </c>
      <c r="P87" s="62">
        <v>49.391494638407806</v>
      </c>
    </row>
    <row r="88" spans="1:16" x14ac:dyDescent="0.2">
      <c r="A88" s="39">
        <f ca="1">RANDBETWEEN(ROW('Asset Class Returns &amp; Weights'!$A$23),ROW('Asset Class Returns &amp; Weights'!$A$166))</f>
        <v>148</v>
      </c>
      <c r="B88" s="56" cm="1">
        <f t="array" aca="1" ref="B88" ca="1">INDIRECT("'Asset Class Returns &amp; Weights'!A"&amp;$A88)</f>
        <v>45473</v>
      </c>
      <c r="C88" s="74" cm="1">
        <f t="array" aca="1" ref="C88" ca="1">INDIRECT("'Asset Class Returns &amp; Weights'!AA"&amp;$A88)</f>
        <v>1.1607317321410837</v>
      </c>
      <c r="D88" s="4">
        <f t="shared" ca="1" si="8"/>
        <v>1.0116073173214108</v>
      </c>
      <c r="E88" s="4">
        <f t="shared" ca="1" si="12"/>
        <v>1.5012749445008151</v>
      </c>
      <c r="F88" s="60">
        <f ca="1">'Asset Class Returns &amp; Weights'!$G$14*'(Bootstrap Simulation)'!E88</f>
        <v>226.05484821968898</v>
      </c>
      <c r="G88" s="74" cm="1">
        <f t="array" aca="1" ref="G88" ca="1">INDIRECT("'Asset Class Returns &amp; Weights'!AI"&amp;$A88)</f>
        <v>0.13587500000000002</v>
      </c>
      <c r="H88" s="4">
        <f t="shared" ca="1" si="9"/>
        <v>1.0013587500000001</v>
      </c>
      <c r="I88" s="4">
        <f t="shared" ca="1" si="13"/>
        <v>0.98688129237013344</v>
      </c>
      <c r="J88" s="60">
        <f ca="1">'Asset Class Returns &amp; Weights'!$G$15*'(Bootstrap Simulation)'!I88</f>
        <v>148.78401573559057</v>
      </c>
      <c r="K88" s="63">
        <f t="shared" ca="1" si="10"/>
        <v>1.5193490181191183</v>
      </c>
      <c r="L88" s="58">
        <f t="shared" ca="1" si="11"/>
        <v>77.270832484098406</v>
      </c>
      <c r="N88">
        <f t="shared" si="7"/>
        <v>87</v>
      </c>
      <c r="O88" s="63">
        <v>1.8374593500789609</v>
      </c>
      <c r="P88" s="62">
        <v>122.66471724452077</v>
      </c>
    </row>
    <row r="89" spans="1:16" x14ac:dyDescent="0.2">
      <c r="A89" s="39">
        <f ca="1">RANDBETWEEN(ROW('Asset Class Returns &amp; Weights'!$A$23),ROW('Asset Class Returns &amp; Weights'!$A$166))</f>
        <v>118</v>
      </c>
      <c r="B89" s="56" cm="1">
        <f t="array" aca="1" ref="B89" ca="1">INDIRECT("'Asset Class Returns &amp; Weights'!A"&amp;$A89)</f>
        <v>44561</v>
      </c>
      <c r="C89" s="74" cm="1">
        <f t="array" aca="1" ref="C89" ca="1">INDIRECT("'Asset Class Returns &amp; Weights'!AA"&amp;$A89)</f>
        <v>1.3592930931331151</v>
      </c>
      <c r="D89" s="4">
        <f t="shared" ca="1" si="8"/>
        <v>1.0135929309313312</v>
      </c>
      <c r="E89" s="4">
        <f t="shared" ca="1" si="12"/>
        <v>1.5216816711303527</v>
      </c>
      <c r="F89" s="60">
        <f ca="1">'Asset Class Returns &amp; Weights'!$G$14*'(Bootstrap Simulation)'!E89</f>
        <v>229.12759615823174</v>
      </c>
      <c r="G89" s="74" cm="1">
        <f t="array" aca="1" ref="G89" ca="1">INDIRECT("'Asset Class Returns &amp; Weights'!AI"&amp;$A89)</f>
        <v>-0.16315277777777779</v>
      </c>
      <c r="H89" s="4">
        <f t="shared" ca="1" si="9"/>
        <v>0.99836847222222225</v>
      </c>
      <c r="I89" s="4">
        <f t="shared" ca="1" si="13"/>
        <v>0.98527116812826232</v>
      </c>
      <c r="J89" s="60">
        <f ca="1">'Asset Class Returns &amp; Weights'!$G$15*'(Bootstrap Simulation)'!I89</f>
        <v>148.54127048102862</v>
      </c>
      <c r="K89" s="63">
        <f t="shared" ca="1" si="10"/>
        <v>1.5425180854871943</v>
      </c>
      <c r="L89" s="58">
        <f t="shared" ca="1" si="11"/>
        <v>80.586325677203121</v>
      </c>
      <c r="N89">
        <f t="shared" si="7"/>
        <v>88</v>
      </c>
      <c r="O89" s="63">
        <v>2.2804894957046606</v>
      </c>
      <c r="P89" s="62">
        <v>189.97740912874096</v>
      </c>
    </row>
    <row r="90" spans="1:16" x14ac:dyDescent="0.2">
      <c r="A90" s="39">
        <f ca="1">RANDBETWEEN(ROW('Asset Class Returns &amp; Weights'!$A$23),ROW('Asset Class Returns &amp; Weights'!$A$166))</f>
        <v>111</v>
      </c>
      <c r="B90" s="56" cm="1">
        <f t="array" aca="1" ref="B90" ca="1">INDIRECT("'Asset Class Returns &amp; Weights'!A"&amp;$A90)</f>
        <v>44347</v>
      </c>
      <c r="C90" s="74" cm="1">
        <f t="array" aca="1" ref="C90" ca="1">INDIRECT("'Asset Class Returns &amp; Weights'!AA"&amp;$A90)</f>
        <v>0.25176219913533959</v>
      </c>
      <c r="D90" s="4">
        <f t="shared" ca="1" si="8"/>
        <v>1.0025176219913534</v>
      </c>
      <c r="E90" s="4">
        <f t="shared" ca="1" si="12"/>
        <v>1.5255126903694298</v>
      </c>
      <c r="F90" s="60">
        <f ca="1">'Asset Class Returns &amp; Weights'!$G$14*'(Bootstrap Simulation)'!E90</f>
        <v>229.70445283314567</v>
      </c>
      <c r="G90" s="74" cm="1">
        <f t="array" aca="1" ref="G90" ca="1">INDIRECT("'Asset Class Returns &amp; Weights'!AI"&amp;$A90)</f>
        <v>-0.15802777777777779</v>
      </c>
      <c r="H90" s="4">
        <f t="shared" ca="1" si="9"/>
        <v>0.99841972222222219</v>
      </c>
      <c r="I90" s="4">
        <f t="shared" ca="1" si="13"/>
        <v>0.983714165996184</v>
      </c>
      <c r="J90" s="60">
        <f ca="1">'Asset Class Returns &amp; Weights'!$G$15*'(Bootstrap Simulation)'!I90</f>
        <v>148.30653401220457</v>
      </c>
      <c r="K90" s="63">
        <f t="shared" ca="1" si="10"/>
        <v>1.5488491748734592</v>
      </c>
      <c r="L90" s="58">
        <f t="shared" ca="1" si="11"/>
        <v>81.397918820941101</v>
      </c>
      <c r="N90">
        <f t="shared" si="7"/>
        <v>89</v>
      </c>
      <c r="O90" s="63">
        <v>1.7339600955340067</v>
      </c>
      <c r="P90" s="62">
        <v>105.91166368733511</v>
      </c>
    </row>
    <row r="91" spans="1:16" x14ac:dyDescent="0.2">
      <c r="A91" s="39">
        <f ca="1">RANDBETWEEN(ROW('Asset Class Returns &amp; Weights'!$A$23),ROW('Asset Class Returns &amp; Weights'!$A$166))</f>
        <v>41</v>
      </c>
      <c r="B91" s="56" cm="1">
        <f t="array" aca="1" ref="B91" ca="1">INDIRECT("'Asset Class Returns &amp; Weights'!A"&amp;$A91)</f>
        <v>42004</v>
      </c>
      <c r="C91" s="74" cm="1">
        <f t="array" aca="1" ref="C91" ca="1">INDIRECT("'Asset Class Returns &amp; Weights'!AA"&amp;$A91)</f>
        <v>-0.18651939975316809</v>
      </c>
      <c r="D91" s="4">
        <f t="shared" ca="1" si="8"/>
        <v>0.99813480600246829</v>
      </c>
      <c r="E91" s="4">
        <f t="shared" ca="1" si="12"/>
        <v>1.5226673132561943</v>
      </c>
      <c r="F91" s="60">
        <f ca="1">'Asset Class Returns &amp; Weights'!$G$14*'(Bootstrap Simulation)'!E91</f>
        <v>229.27600946651498</v>
      </c>
      <c r="G91" s="74" cm="1">
        <f t="array" aca="1" ref="G91" ca="1">INDIRECT("'Asset Class Returns &amp; Weights'!AI"&amp;$A91)</f>
        <v>-3.1708333333333338E-2</v>
      </c>
      <c r="H91" s="4">
        <f t="shared" ca="1" si="9"/>
        <v>0.99968291666666664</v>
      </c>
      <c r="I91" s="4">
        <f t="shared" ca="1" si="13"/>
        <v>0.98340224662938269</v>
      </c>
      <c r="J91" s="60">
        <f ca="1">'Asset Class Returns &amp; Weights'!$G$15*'(Bootstrap Simulation)'!I91</f>
        <v>148.25950848204485</v>
      </c>
      <c r="K91" s="63">
        <f t="shared" ca="1" si="10"/>
        <v>1.5464506244082263</v>
      </c>
      <c r="L91" s="58">
        <f t="shared" ca="1" si="11"/>
        <v>81.016500984470127</v>
      </c>
      <c r="N91">
        <f t="shared" si="7"/>
        <v>90</v>
      </c>
      <c r="O91" s="63">
        <v>1.7345294486041243</v>
      </c>
      <c r="P91" s="62">
        <v>109.94627572637941</v>
      </c>
    </row>
    <row r="92" spans="1:16" x14ac:dyDescent="0.2">
      <c r="A92" s="39">
        <f ca="1">RANDBETWEEN(ROW('Asset Class Returns &amp; Weights'!$A$23),ROW('Asset Class Returns &amp; Weights'!$A$166))</f>
        <v>37</v>
      </c>
      <c r="B92" s="56" cm="1">
        <f t="array" aca="1" ref="B92" ca="1">INDIRECT("'Asset Class Returns &amp; Weights'!A"&amp;$A92)</f>
        <v>41882</v>
      </c>
      <c r="C92" s="74" cm="1">
        <f t="array" aca="1" ref="C92" ca="1">INDIRECT("'Asset Class Returns &amp; Weights'!AA"&amp;$A92)</f>
        <v>2.1528110708148573</v>
      </c>
      <c r="D92" s="4">
        <f t="shared" ca="1" si="8"/>
        <v>1.0215281107081486</v>
      </c>
      <c r="E92" s="4">
        <f t="shared" ca="1" si="12"/>
        <v>1.555447463747653</v>
      </c>
      <c r="F92" s="60">
        <f ca="1">'Asset Class Returns &amp; Weights'!$G$14*'(Bootstrap Simulation)'!E92</f>
        <v>234.21188878103266</v>
      </c>
      <c r="G92" s="74" cm="1">
        <f t="array" aca="1" ref="G92" ca="1">INDIRECT("'Asset Class Returns &amp; Weights'!AI"&amp;$A92)</f>
        <v>-4.0555555555555588E-3</v>
      </c>
      <c r="H92" s="4">
        <f t="shared" ca="1" si="9"/>
        <v>0.9999594444444444</v>
      </c>
      <c r="I92" s="4">
        <f t="shared" ca="1" si="13"/>
        <v>0.98336236420493606</v>
      </c>
      <c r="J92" s="60">
        <f ca="1">'Asset Class Returns &amp; Weights'!$G$15*'(Bootstrap Simulation)'!I92</f>
        <v>148.25349573531196</v>
      </c>
      <c r="K92" s="63">
        <f t="shared" ca="1" si="10"/>
        <v>1.5798068545998312</v>
      </c>
      <c r="L92" s="58">
        <f t="shared" ca="1" si="11"/>
        <v>85.958393045720698</v>
      </c>
      <c r="N92">
        <f t="shared" si="7"/>
        <v>91</v>
      </c>
      <c r="O92" s="63">
        <v>1.320041647807132</v>
      </c>
      <c r="P92" s="62">
        <v>47.875352635843427</v>
      </c>
    </row>
    <row r="93" spans="1:16" x14ac:dyDescent="0.2">
      <c r="A93" s="39">
        <f ca="1">RANDBETWEEN(ROW('Asset Class Returns &amp; Weights'!$A$23),ROW('Asset Class Returns &amp; Weights'!$A$166))</f>
        <v>144</v>
      </c>
      <c r="B93" s="56" cm="1">
        <f t="array" aca="1" ref="B93" ca="1">INDIRECT("'Asset Class Returns &amp; Weights'!A"&amp;$A93)</f>
        <v>45351</v>
      </c>
      <c r="C93" s="74" cm="1">
        <f t="array" aca="1" ref="C93" ca="1">INDIRECT("'Asset Class Returns &amp; Weights'!AA"&amp;$A93)</f>
        <v>0.8173714702258239</v>
      </c>
      <c r="D93" s="4">
        <f t="shared" ca="1" si="8"/>
        <v>1.0081737147022583</v>
      </c>
      <c r="E93" s="4">
        <f t="shared" ca="1" si="12"/>
        <v>1.5681612475506774</v>
      </c>
      <c r="F93" s="60">
        <f ca="1">'Asset Class Returns &amp; Weights'!$G$14*'(Bootstrap Simulation)'!E93</f>
        <v>236.12626993980584</v>
      </c>
      <c r="G93" s="74" cm="1">
        <f t="array" aca="1" ref="G93" ca="1">INDIRECT("'Asset Class Returns &amp; Weights'!AI"&amp;$A93)</f>
        <v>0.13475000000000001</v>
      </c>
      <c r="H93" s="4">
        <f t="shared" ca="1" si="9"/>
        <v>1.0013475000000001</v>
      </c>
      <c r="I93" s="4">
        <f t="shared" ca="1" si="13"/>
        <v>0.98468744499070227</v>
      </c>
      <c r="J93" s="60">
        <f ca="1">'Asset Class Returns &amp; Weights'!$G$15*'(Bootstrap Simulation)'!I93</f>
        <v>148.45326732081531</v>
      </c>
      <c r="K93" s="63">
        <f t="shared" ca="1" si="10"/>
        <v>1.5905764433565788</v>
      </c>
      <c r="L93" s="58">
        <f t="shared" ca="1" si="11"/>
        <v>87.673002618990523</v>
      </c>
      <c r="N93">
        <f t="shared" si="7"/>
        <v>92</v>
      </c>
      <c r="O93" s="63">
        <v>1.8672173666458334</v>
      </c>
      <c r="P93" s="62">
        <v>130.40088049917574</v>
      </c>
    </row>
    <row r="94" spans="1:16" x14ac:dyDescent="0.2">
      <c r="A94" s="39">
        <f ca="1">RANDBETWEEN(ROW('Asset Class Returns &amp; Weights'!$A$23),ROW('Asset Class Returns &amp; Weights'!$A$166))</f>
        <v>133</v>
      </c>
      <c r="B94" s="56" cm="1">
        <f t="array" aca="1" ref="B94" ca="1">INDIRECT("'Asset Class Returns &amp; Weights'!A"&amp;$A94)</f>
        <v>45016</v>
      </c>
      <c r="C94" s="74" cm="1">
        <f t="array" aca="1" ref="C94" ca="1">INDIRECT("'Asset Class Returns &amp; Weights'!AA"&amp;$A94)</f>
        <v>-0.25809067214290327</v>
      </c>
      <c r="D94" s="4">
        <f t="shared" ca="1" si="8"/>
        <v>0.99741909327857092</v>
      </c>
      <c r="E94" s="4">
        <f t="shared" ca="1" si="12"/>
        <v>1.5641139696465893</v>
      </c>
      <c r="F94" s="60">
        <f ca="1">'Asset Class Returns &amp; Weights'!$G$14*'(Bootstrap Simulation)'!E94</f>
        <v>235.51685006261224</v>
      </c>
      <c r="G94" s="74" cm="1">
        <f t="array" aca="1" ref="G94" ca="1">INDIRECT("'Asset Class Returns &amp; Weights'!AI"&amp;$A94)</f>
        <v>8.5291666666666668E-2</v>
      </c>
      <c r="H94" s="4">
        <f t="shared" ca="1" si="9"/>
        <v>1.0008529166666666</v>
      </c>
      <c r="I94" s="4">
        <f t="shared" ca="1" si="13"/>
        <v>0.98552730132399224</v>
      </c>
      <c r="J94" s="60">
        <f ca="1">'Asset Class Returns &amp; Weights'!$G$15*'(Bootstrap Simulation)'!I94</f>
        <v>148.57988558673435</v>
      </c>
      <c r="K94" s="63">
        <f t="shared" ca="1" si="10"/>
        <v>1.585119339219897</v>
      </c>
      <c r="L94" s="58">
        <f t="shared" ca="1" si="11"/>
        <v>86.936964475877886</v>
      </c>
      <c r="N94">
        <f t="shared" si="7"/>
        <v>93</v>
      </c>
      <c r="O94" s="63">
        <v>1.9566664056221148</v>
      </c>
      <c r="P94" s="62">
        <v>140.39971698327409</v>
      </c>
    </row>
    <row r="95" spans="1:16" x14ac:dyDescent="0.2">
      <c r="A95" s="39">
        <f ca="1">RANDBETWEEN(ROW('Asset Class Returns &amp; Weights'!$A$23),ROW('Asset Class Returns &amp; Weights'!$A$166))</f>
        <v>34</v>
      </c>
      <c r="B95" s="56" cm="1">
        <f t="array" aca="1" ref="B95" ca="1">INDIRECT("'Asset Class Returns &amp; Weights'!A"&amp;$A95)</f>
        <v>41790</v>
      </c>
      <c r="C95" s="74" cm="1">
        <f t="array" aca="1" ref="C95" ca="1">INDIRECT("'Asset Class Returns &amp; Weights'!AA"&amp;$A95)</f>
        <v>1.3893836371301047</v>
      </c>
      <c r="D95" s="4">
        <f t="shared" ca="1" si="8"/>
        <v>1.013893836371301</v>
      </c>
      <c r="E95" s="4">
        <f t="shared" ca="1" si="12"/>
        <v>1.5858455132069251</v>
      </c>
      <c r="F95" s="60">
        <f ca="1">'Asset Class Returns &amp; Weights'!$G$14*'(Bootstrap Simulation)'!E95</f>
        <v>238.7890826400664</v>
      </c>
      <c r="G95" s="74" cm="1">
        <f t="array" aca="1" ref="G95" ca="1">INDIRECT("'Asset Class Returns &amp; Weights'!AI"&amp;$A95)</f>
        <v>1.3902777777777771E-2</v>
      </c>
      <c r="H95" s="4">
        <f t="shared" ca="1" si="9"/>
        <v>1.0001390277777777</v>
      </c>
      <c r="I95" s="4">
        <f t="shared" ca="1" si="13"/>
        <v>0.98566431699463464</v>
      </c>
      <c r="J95" s="60">
        <f ca="1">'Asset Class Returns &amp; Weights'!$G$15*'(Bootstrap Simulation)'!I95</f>
        <v>148.60054231804995</v>
      </c>
      <c r="K95" s="63">
        <f t="shared" ca="1" si="10"/>
        <v>1.606919321525663</v>
      </c>
      <c r="L95" s="58">
        <f t="shared" ca="1" si="11"/>
        <v>90.188540322016451</v>
      </c>
      <c r="N95">
        <f t="shared" si="7"/>
        <v>94</v>
      </c>
      <c r="O95" s="63">
        <v>1.8717298490049454</v>
      </c>
      <c r="P95" s="62">
        <v>126.53536586940314</v>
      </c>
    </row>
    <row r="96" spans="1:16" x14ac:dyDescent="0.2">
      <c r="A96" s="39">
        <f ca="1">RANDBETWEEN(ROW('Asset Class Returns &amp; Weights'!$A$23),ROW('Asset Class Returns &amp; Weights'!$A$166))</f>
        <v>98</v>
      </c>
      <c r="B96" s="56" cm="1">
        <f t="array" aca="1" ref="B96" ca="1">INDIRECT("'Asset Class Returns &amp; Weights'!A"&amp;$A96)</f>
        <v>43951</v>
      </c>
      <c r="C96" s="74" cm="1">
        <f t="array" aca="1" ref="C96" ca="1">INDIRECT("'Asset Class Returns &amp; Weights'!AA"&amp;$A96)</f>
        <v>4.5018822436456931</v>
      </c>
      <c r="D96" s="4">
        <f t="shared" ca="1" si="8"/>
        <v>1.0450188224364569</v>
      </c>
      <c r="E96" s="4">
        <f t="shared" ca="1" si="12"/>
        <v>1.6572384107776397</v>
      </c>
      <c r="F96" s="60">
        <f ca="1">'Asset Class Returns &amp; Weights'!$G$14*'(Bootstrap Simulation)'!E96</f>
        <v>249.53908595120399</v>
      </c>
      <c r="G96" s="74" cm="1">
        <f t="array" aca="1" ref="G96" ca="1">INDIRECT("'Asset Class Returns &amp; Weights'!AI"&amp;$A96)</f>
        <v>-0.14687500000000001</v>
      </c>
      <c r="H96" s="4">
        <f t="shared" ca="1" si="9"/>
        <v>0.99853124999999998</v>
      </c>
      <c r="I96" s="4">
        <f t="shared" ca="1" si="13"/>
        <v>0.98421662252904873</v>
      </c>
      <c r="J96" s="60">
        <f ca="1">'Asset Class Returns &amp; Weights'!$G$15*'(Bootstrap Simulation)'!I96</f>
        <v>148.38228527152032</v>
      </c>
      <c r="K96" s="63">
        <f t="shared" ca="1" si="10"/>
        <v>1.6817309795072899</v>
      </c>
      <c r="L96" s="58">
        <f t="shared" ca="1" si="11"/>
        <v>101.15680067968367</v>
      </c>
      <c r="N96">
        <f t="shared" si="7"/>
        <v>95</v>
      </c>
      <c r="O96" s="63">
        <v>1.8180414370567664</v>
      </c>
      <c r="P96" s="62">
        <v>120.31634027965526</v>
      </c>
    </row>
    <row r="97" spans="1:16" x14ac:dyDescent="0.2">
      <c r="A97" s="39">
        <f ca="1">RANDBETWEEN(ROW('Asset Class Returns &amp; Weights'!$A$23),ROW('Asset Class Returns &amp; Weights'!$A$166))</f>
        <v>118</v>
      </c>
      <c r="B97" s="56" cm="1">
        <f t="array" aca="1" ref="B97" ca="1">INDIRECT("'Asset Class Returns &amp; Weights'!A"&amp;$A97)</f>
        <v>44561</v>
      </c>
      <c r="C97" s="74" cm="1">
        <f t="array" aca="1" ref="C97" ca="1">INDIRECT("'Asset Class Returns &amp; Weights'!AA"&amp;$A97)</f>
        <v>1.3592930931331151</v>
      </c>
      <c r="D97" s="4">
        <f t="shared" ca="1" si="8"/>
        <v>1.0135929309313312</v>
      </c>
      <c r="E97" s="4">
        <f t="shared" ca="1" si="12"/>
        <v>1.6797651380320893</v>
      </c>
      <c r="F97" s="60">
        <f ca="1">'Asset Class Returns &amp; Weights'!$G$14*'(Bootstrap Simulation)'!E97</f>
        <v>252.93105351120624</v>
      </c>
      <c r="G97" s="74" cm="1">
        <f t="array" aca="1" ref="G97" ca="1">INDIRECT("'Asset Class Returns &amp; Weights'!AI"&amp;$A97)</f>
        <v>-0.16315277777777779</v>
      </c>
      <c r="H97" s="4">
        <f t="shared" ca="1" si="9"/>
        <v>0.99836847222222225</v>
      </c>
      <c r="I97" s="4">
        <f t="shared" ca="1" si="13"/>
        <v>0.98261084577004199</v>
      </c>
      <c r="J97" s="60">
        <f ca="1">'Asset Class Returns &amp; Weights'!$G$15*'(Bootstrap Simulation)'!I97</f>
        <v>148.14019545136969</v>
      </c>
      <c r="K97" s="63">
        <f t="shared" ca="1" si="10"/>
        <v>1.7073762643592332</v>
      </c>
      <c r="L97" s="58">
        <f t="shared" ca="1" si="11"/>
        <v>104.79085805983655</v>
      </c>
      <c r="N97">
        <f t="shared" si="7"/>
        <v>96</v>
      </c>
      <c r="O97" s="63">
        <v>1.8801235050813734</v>
      </c>
      <c r="P97" s="62">
        <v>130.66881528038553</v>
      </c>
    </row>
    <row r="98" spans="1:16" x14ac:dyDescent="0.2">
      <c r="A98" s="39">
        <f ca="1">RANDBETWEEN(ROW('Asset Class Returns &amp; Weights'!$A$23),ROW('Asset Class Returns &amp; Weights'!$A$166))</f>
        <v>65</v>
      </c>
      <c r="B98" s="56" cm="1">
        <f t="array" aca="1" ref="B98" ca="1">INDIRECT("'Asset Class Returns &amp; Weights'!A"&amp;$A98)</f>
        <v>42735</v>
      </c>
      <c r="C98" s="74" cm="1">
        <f t="array" aca="1" ref="C98" ca="1">INDIRECT("'Asset Class Returns &amp; Weights'!AA"&amp;$A98)</f>
        <v>2.8609360739223297</v>
      </c>
      <c r="D98" s="4">
        <f t="shared" ca="1" si="8"/>
        <v>1.0286093607392233</v>
      </c>
      <c r="E98" s="4">
        <f t="shared" ca="1" si="12"/>
        <v>1.7278221448232205</v>
      </c>
      <c r="F98" s="60">
        <f ca="1">'Asset Class Returns &amp; Weights'!$G$14*'(Bootstrap Simulation)'!E98</f>
        <v>260.16724926326015</v>
      </c>
      <c r="G98" s="74" cm="1">
        <f t="array" aca="1" ref="G98" ca="1">INDIRECT("'Asset Class Returns &amp; Weights'!AI"&amp;$A98)</f>
        <v>-0.10883333333333334</v>
      </c>
      <c r="H98" s="4">
        <f t="shared" ca="1" si="9"/>
        <v>0.99891166666666664</v>
      </c>
      <c r="I98" s="4">
        <f t="shared" ca="1" si="13"/>
        <v>0.98154143763289559</v>
      </c>
      <c r="J98" s="60">
        <f ca="1">'Asset Class Returns &amp; Weights'!$G$15*'(Bootstrap Simulation)'!I98</f>
        <v>147.97896953865344</v>
      </c>
      <c r="K98" s="63">
        <f t="shared" ca="1" si="10"/>
        <v>1.7581366465408594</v>
      </c>
      <c r="L98" s="58">
        <f t="shared" ca="1" si="11"/>
        <v>112.1882797246067</v>
      </c>
      <c r="N98">
        <f t="shared" si="7"/>
        <v>97</v>
      </c>
      <c r="O98" s="63">
        <v>2.1244308163658858</v>
      </c>
      <c r="P98" s="62">
        <v>165.67969613313522</v>
      </c>
    </row>
    <row r="99" spans="1:16" x14ac:dyDescent="0.2">
      <c r="A99" s="39">
        <f ca="1">RANDBETWEEN(ROW('Asset Class Returns &amp; Weights'!$A$23),ROW('Asset Class Returns &amp; Weights'!$A$166))</f>
        <v>104</v>
      </c>
      <c r="B99" s="56" cm="1">
        <f t="array" aca="1" ref="B99" ca="1">INDIRECT("'Asset Class Returns &amp; Weights'!A"&amp;$A99)</f>
        <v>44135</v>
      </c>
      <c r="C99" s="74" cm="1">
        <f t="array" aca="1" ref="C99" ca="1">INDIRECT("'Asset Class Returns &amp; Weights'!AA"&amp;$A99)</f>
        <v>-1.9001782009329338</v>
      </c>
      <c r="D99" s="4">
        <f t="shared" ca="1" si="8"/>
        <v>0.98099821799067066</v>
      </c>
      <c r="E99" s="4">
        <f t="shared" ca="1" si="12"/>
        <v>1.6949904450763977</v>
      </c>
      <c r="F99" s="60">
        <f ca="1">'Asset Class Returns &amp; Weights'!$G$14*'(Bootstrap Simulation)'!E99</f>
        <v>255.22360790679281</v>
      </c>
      <c r="G99" s="74" cm="1">
        <f t="array" aca="1" ref="G99" ca="1">INDIRECT("'Asset Class Returns &amp; Weights'!AI"&amp;$A99)</f>
        <v>-0.17348611111111112</v>
      </c>
      <c r="H99" s="4">
        <f t="shared" ca="1" si="9"/>
        <v>0.9982651388888889</v>
      </c>
      <c r="I99" s="4">
        <f t="shared" ca="1" si="13"/>
        <v>0.97983859956380215</v>
      </c>
      <c r="J99" s="60">
        <f ca="1">'Asset Class Returns &amp; Weights'!$G$15*'(Bootstrap Simulation)'!I99</f>
        <v>147.72224657913853</v>
      </c>
      <c r="K99" s="63">
        <f t="shared" ca="1" si="10"/>
        <v>1.7277262823786199</v>
      </c>
      <c r="L99" s="58">
        <f t="shared" ca="1" si="11"/>
        <v>107.50136132765428</v>
      </c>
      <c r="N99">
        <f t="shared" si="7"/>
        <v>98</v>
      </c>
      <c r="O99" s="63">
        <v>1.9550254737946693</v>
      </c>
      <c r="P99" s="62">
        <v>140.94300743131575</v>
      </c>
    </row>
    <row r="100" spans="1:16" x14ac:dyDescent="0.2">
      <c r="A100" s="39">
        <f ca="1">RANDBETWEEN(ROW('Asset Class Returns &amp; Weights'!$A$23),ROW('Asset Class Returns &amp; Weights'!$A$166))</f>
        <v>103</v>
      </c>
      <c r="B100" s="56" cm="1">
        <f t="array" aca="1" ref="B100" ca="1">INDIRECT("'Asset Class Returns &amp; Weights'!A"&amp;$A100)</f>
        <v>44104</v>
      </c>
      <c r="C100" s="74" cm="1">
        <f t="array" aca="1" ref="C100" ca="1">INDIRECT("'Asset Class Returns &amp; Weights'!AA"&amp;$A100)</f>
        <v>-0.32059917407416511</v>
      </c>
      <c r="D100" s="4">
        <f t="shared" ca="1" si="8"/>
        <v>0.99679400825925835</v>
      </c>
      <c r="E100" s="4">
        <f t="shared" ca="1" si="12"/>
        <v>1.6895563197088468</v>
      </c>
      <c r="F100" s="60">
        <f ca="1">'Asset Class Returns &amp; Weights'!$G$14*'(Bootstrap Simulation)'!E100</f>
        <v>254.40536312780134</v>
      </c>
      <c r="G100" s="74" cm="1">
        <f t="array" aca="1" ref="G100" ca="1">INDIRECT("'Asset Class Returns &amp; Weights'!AI"&amp;$A100)</f>
        <v>-0.17222222222222222</v>
      </c>
      <c r="H100" s="4">
        <f t="shared" ca="1" si="9"/>
        <v>0.99827777777777782</v>
      </c>
      <c r="I100" s="4">
        <f t="shared" ca="1" si="13"/>
        <v>0.97815109975344228</v>
      </c>
      <c r="J100" s="60">
        <f ca="1">'Asset Class Returns &amp; Weights'!$G$15*'(Bootstrap Simulation)'!I100</f>
        <v>147.46783604336335</v>
      </c>
      <c r="K100" s="63">
        <f t="shared" ca="1" si="10"/>
        <v>1.7251583121691207</v>
      </c>
      <c r="L100" s="58">
        <f t="shared" ca="1" si="11"/>
        <v>106.93752708443799</v>
      </c>
      <c r="N100">
        <f t="shared" si="7"/>
        <v>99</v>
      </c>
      <c r="O100" s="63">
        <v>1.2982803349834635</v>
      </c>
      <c r="P100" s="62">
        <v>43.513818800564394</v>
      </c>
    </row>
    <row r="101" spans="1:16" x14ac:dyDescent="0.2">
      <c r="A101" s="39">
        <f ca="1">RANDBETWEEN(ROW('Asset Class Returns &amp; Weights'!$A$23),ROW('Asset Class Returns &amp; Weights'!$A$166))</f>
        <v>50</v>
      </c>
      <c r="B101" s="56" cm="1">
        <f t="array" aca="1" ref="B101" ca="1">INDIRECT("'Asset Class Returns &amp; Weights'!A"&amp;$A101)</f>
        <v>42277</v>
      </c>
      <c r="C101" s="74" cm="1">
        <f t="array" aca="1" ref="C101" ca="1">INDIRECT("'Asset Class Returns &amp; Weights'!AA"&amp;$A101)</f>
        <v>-0.94912629185626851</v>
      </c>
      <c r="D101" s="4">
        <f t="shared" ca="1" si="8"/>
        <v>0.99050873708143727</v>
      </c>
      <c r="E101" s="4">
        <f t="shared" ca="1" si="12"/>
        <v>1.6735202964627709</v>
      </c>
      <c r="F101" s="60">
        <f ca="1">'Asset Class Returns &amp; Weights'!$G$14*'(Bootstrap Simulation)'!E101</f>
        <v>251.99073493846294</v>
      </c>
      <c r="G101" s="74" cm="1">
        <f t="array" aca="1" ref="G101" ca="1">INDIRECT("'Asset Class Returns &amp; Weights'!AI"&amp;$A101)</f>
        <v>-2.7708333333333335E-2</v>
      </c>
      <c r="H101" s="4">
        <f t="shared" ca="1" si="9"/>
        <v>0.99972291666666668</v>
      </c>
      <c r="I101" s="4">
        <f t="shared" ca="1" si="13"/>
        <v>0.97788007038621894</v>
      </c>
      <c r="J101" s="60">
        <f ca="1">'Asset Class Returns &amp; Weights'!$G$15*'(Bootstrap Simulation)'!I101</f>
        <v>147.426975163793</v>
      </c>
      <c r="K101" s="63">
        <f t="shared" ca="1" si="10"/>
        <v>1.7092579879530081</v>
      </c>
      <c r="L101" s="58">
        <f t="shared" ca="1" si="11"/>
        <v>104.56375977466993</v>
      </c>
      <c r="N101">
        <f t="shared" si="7"/>
        <v>100</v>
      </c>
      <c r="O101" s="63">
        <v>2.0682200982050207</v>
      </c>
      <c r="P101" s="62">
        <v>156.33230867099951</v>
      </c>
    </row>
    <row r="102" spans="1:16" x14ac:dyDescent="0.2">
      <c r="A102" s="39">
        <f ca="1">RANDBETWEEN(ROW('Asset Class Returns &amp; Weights'!$A$23),ROW('Asset Class Returns &amp; Weights'!$A$166))</f>
        <v>126</v>
      </c>
      <c r="B102" s="56" cm="1">
        <f t="array" aca="1" ref="B102" ca="1">INDIRECT("'Asset Class Returns &amp; Weights'!A"&amp;$A102)</f>
        <v>44804</v>
      </c>
      <c r="C102" s="74" cm="1">
        <f t="array" aca="1" ref="C102" ca="1">INDIRECT("'Asset Class Returns &amp; Weights'!AA"&amp;$A102)</f>
        <v>-1.8267949190726551</v>
      </c>
      <c r="D102" s="4">
        <f t="shared" ca="1" si="8"/>
        <v>0.9817320508092735</v>
      </c>
      <c r="E102" s="4">
        <f t="shared" ca="1" si="12"/>
        <v>1.6429485127173395</v>
      </c>
      <c r="F102" s="60">
        <f ca="1">'Asset Class Returns &amp; Weights'!$G$14*'(Bootstrap Simulation)'!E102</f>
        <v>247.38738099607329</v>
      </c>
      <c r="G102" s="74" cm="1">
        <f t="array" aca="1" ref="G102" ca="1">INDIRECT("'Asset Class Returns &amp; Weights'!AI"&amp;$A102)</f>
        <v>-1.415277777777779E-2</v>
      </c>
      <c r="H102" s="4">
        <f t="shared" ca="1" si="9"/>
        <v>0.99985847222222224</v>
      </c>
      <c r="I102" s="4">
        <f t="shared" ca="1" si="13"/>
        <v>0.97774167319292404</v>
      </c>
      <c r="J102" s="60">
        <f ca="1">'Asset Class Returns &amp; Weights'!$G$15*'(Bootstrap Simulation)'!I102</f>
        <v>147.40611015161357</v>
      </c>
      <c r="K102" s="63">
        <f t="shared" ca="1" si="10"/>
        <v>1.6782708718222374</v>
      </c>
      <c r="L102" s="58">
        <f t="shared" ca="1" si="11"/>
        <v>99.981270844459715</v>
      </c>
      <c r="N102">
        <f t="shared" si="7"/>
        <v>101</v>
      </c>
      <c r="O102" s="63">
        <v>1.9155734939653344</v>
      </c>
      <c r="P102" s="62">
        <v>137.01002516309001</v>
      </c>
    </row>
    <row r="103" spans="1:16" x14ac:dyDescent="0.2">
      <c r="A103" s="39">
        <f ca="1">RANDBETWEEN(ROW('Asset Class Returns &amp; Weights'!$A$23),ROW('Asset Class Returns &amp; Weights'!$A$166))</f>
        <v>95</v>
      </c>
      <c r="B103" s="56" cm="1">
        <f t="array" aca="1" ref="B103" ca="1">INDIRECT("'Asset Class Returns &amp; Weights'!A"&amp;$A103)</f>
        <v>43861</v>
      </c>
      <c r="C103" s="74" cm="1">
        <f t="array" aca="1" ref="C103" ca="1">INDIRECT("'Asset Class Returns &amp; Weights'!AA"&amp;$A103)</f>
        <v>-2.1093949631446327E-2</v>
      </c>
      <c r="D103" s="4">
        <f t="shared" ca="1" si="8"/>
        <v>0.99978906050368554</v>
      </c>
      <c r="E103" s="4">
        <f t="shared" ca="1" si="12"/>
        <v>1.6426019499855964</v>
      </c>
      <c r="F103" s="60">
        <f ca="1">'Asset Class Returns &amp; Weights'!$G$14*'(Bootstrap Simulation)'!E103</f>
        <v>247.33519722653142</v>
      </c>
      <c r="G103" s="74" cm="1">
        <f t="array" aca="1" ref="G103" ca="1">INDIRECT("'Asset Class Returns &amp; Weights'!AI"&amp;$A103)</f>
        <v>-0.13944444444444445</v>
      </c>
      <c r="H103" s="4">
        <f t="shared" ca="1" si="9"/>
        <v>0.99860555555555552</v>
      </c>
      <c r="I103" s="4">
        <f t="shared" ca="1" si="13"/>
        <v>0.97637826674863837</v>
      </c>
      <c r="J103" s="60">
        <f ca="1">'Asset Class Returns &amp; Weights'!$G$15*'(Bootstrap Simulation)'!I103</f>
        <v>147.20056052023548</v>
      </c>
      <c r="K103" s="63">
        <f t="shared" ca="1" si="10"/>
        <v>1.6802598872748895</v>
      </c>
      <c r="L103" s="58">
        <f t="shared" ca="1" si="11"/>
        <v>100.13463670629594</v>
      </c>
      <c r="N103">
        <f t="shared" si="7"/>
        <v>102</v>
      </c>
      <c r="O103" s="63">
        <v>2.2566822965146955</v>
      </c>
      <c r="P103" s="62">
        <v>184.89414914127622</v>
      </c>
    </row>
    <row r="104" spans="1:16" x14ac:dyDescent="0.2">
      <c r="A104" s="39">
        <f ca="1">RANDBETWEEN(ROW('Asset Class Returns &amp; Weights'!$A$23),ROW('Asset Class Returns &amp; Weights'!$A$166))</f>
        <v>65</v>
      </c>
      <c r="B104" s="56" cm="1">
        <f t="array" aca="1" ref="B104" ca="1">INDIRECT("'Asset Class Returns &amp; Weights'!A"&amp;$A104)</f>
        <v>42735</v>
      </c>
      <c r="C104" s="74" cm="1">
        <f t="array" aca="1" ref="C104" ca="1">INDIRECT("'Asset Class Returns &amp; Weights'!AA"&amp;$A104)</f>
        <v>2.8609360739223297</v>
      </c>
      <c r="D104" s="4">
        <f t="shared" ca="1" si="8"/>
        <v>1.0286093607392233</v>
      </c>
      <c r="E104" s="4">
        <f t="shared" ca="1" si="12"/>
        <v>1.689595741723686</v>
      </c>
      <c r="F104" s="60">
        <f ca="1">'Asset Class Returns &amp; Weights'!$G$14*'(Bootstrap Simulation)'!E104</f>
        <v>254.41129910749223</v>
      </c>
      <c r="G104" s="74" cm="1">
        <f t="array" aca="1" ref="G104" ca="1">INDIRECT("'Asset Class Returns &amp; Weights'!AI"&amp;$A104)</f>
        <v>-0.10883333333333334</v>
      </c>
      <c r="H104" s="4">
        <f t="shared" ca="1" si="9"/>
        <v>0.99891166666666664</v>
      </c>
      <c r="I104" s="4">
        <f t="shared" ca="1" si="13"/>
        <v>0.97531564173499352</v>
      </c>
      <c r="J104" s="60">
        <f ca="1">'Asset Class Returns &amp; Weights'!$G$15*'(Bootstrap Simulation)'!I104</f>
        <v>147.04035724353596</v>
      </c>
      <c r="K104" s="63">
        <f t="shared" ca="1" si="10"/>
        <v>1.7302140982024605</v>
      </c>
      <c r="L104" s="58">
        <f t="shared" ca="1" si="11"/>
        <v>107.37094186395626</v>
      </c>
      <c r="N104">
        <f t="shared" si="7"/>
        <v>103</v>
      </c>
      <c r="O104" s="63">
        <v>1.8089173159351732</v>
      </c>
      <c r="P104" s="62">
        <v>117.75187793936144</v>
      </c>
    </row>
    <row r="105" spans="1:16" x14ac:dyDescent="0.2">
      <c r="A105" s="39">
        <f ca="1">RANDBETWEEN(ROW('Asset Class Returns &amp; Weights'!$A$23),ROW('Asset Class Returns &amp; Weights'!$A$166))</f>
        <v>148</v>
      </c>
      <c r="B105" s="56" cm="1">
        <f t="array" aca="1" ref="B105" ca="1">INDIRECT("'Asset Class Returns &amp; Weights'!A"&amp;$A105)</f>
        <v>45473</v>
      </c>
      <c r="C105" s="74" cm="1">
        <f t="array" aca="1" ref="C105" ca="1">INDIRECT("'Asset Class Returns &amp; Weights'!AA"&amp;$A105)</f>
        <v>1.1607317321410837</v>
      </c>
      <c r="D105" s="4">
        <f t="shared" ca="1" si="8"/>
        <v>1.0116073173214108</v>
      </c>
      <c r="E105" s="4">
        <f t="shared" ca="1" si="12"/>
        <v>1.7092074156427772</v>
      </c>
      <c r="F105" s="60">
        <f ca="1">'Asset Class Returns &amp; Weights'!$G$14*'(Bootstrap Simulation)'!E105</f>
        <v>257.36433178638521</v>
      </c>
      <c r="G105" s="74" cm="1">
        <f t="array" aca="1" ref="G105" ca="1">INDIRECT("'Asset Class Returns &amp; Weights'!AI"&amp;$A105)</f>
        <v>0.13587500000000002</v>
      </c>
      <c r="H105" s="4">
        <f t="shared" ca="1" si="9"/>
        <v>1.0013587500000001</v>
      </c>
      <c r="I105" s="4">
        <f t="shared" ca="1" si="13"/>
        <v>0.97664085186320104</v>
      </c>
      <c r="J105" s="60">
        <f ca="1">'Asset Class Returns &amp; Weights'!$G$15*'(Bootstrap Simulation)'!I105</f>
        <v>147.24014832894062</v>
      </c>
      <c r="K105" s="63">
        <f t="shared" ca="1" si="10"/>
        <v>1.7479222529131293</v>
      </c>
      <c r="L105" s="58">
        <f t="shared" ca="1" si="11"/>
        <v>110.12418345744459</v>
      </c>
      <c r="N105">
        <f t="shared" si="7"/>
        <v>104</v>
      </c>
      <c r="O105" s="63">
        <v>3.0790910194054169</v>
      </c>
      <c r="P105" s="62">
        <v>303.52170211681835</v>
      </c>
    </row>
    <row r="106" spans="1:16" x14ac:dyDescent="0.2">
      <c r="A106" s="39">
        <f ca="1">RANDBETWEEN(ROW('Asset Class Returns &amp; Weights'!$A$23),ROW('Asset Class Returns &amp; Weights'!$A$166))</f>
        <v>70</v>
      </c>
      <c r="B106" s="56" cm="1">
        <f t="array" aca="1" ref="B106" ca="1">INDIRECT("'Asset Class Returns &amp; Weights'!A"&amp;$A106)</f>
        <v>42886</v>
      </c>
      <c r="C106" s="74" cm="1">
        <f t="array" aca="1" ref="C106" ca="1">INDIRECT("'Asset Class Returns &amp; Weights'!AA"&amp;$A106)</f>
        <v>1.8101887790863302</v>
      </c>
      <c r="D106" s="4">
        <f t="shared" ca="1" si="8"/>
        <v>1.0181018877908632</v>
      </c>
      <c r="E106" s="4">
        <f t="shared" ca="1" si="12"/>
        <v>1.7401472964920541</v>
      </c>
      <c r="F106" s="60">
        <f ca="1">'Asset Class Returns &amp; Weights'!$G$14*'(Bootstrap Simulation)'!E106</f>
        <v>262.02311204175288</v>
      </c>
      <c r="G106" s="74" cm="1">
        <f t="array" aca="1" ref="G106" ca="1">INDIRECT("'Asset Class Returns &amp; Weights'!AI"&amp;$A106)</f>
        <v>-0.11420833333333333</v>
      </c>
      <c r="H106" s="4">
        <f t="shared" ca="1" si="9"/>
        <v>0.99885791666666668</v>
      </c>
      <c r="I106" s="4">
        <f t="shared" ca="1" si="13"/>
        <v>0.97552544662363561</v>
      </c>
      <c r="J106" s="60">
        <f ca="1">'Asset Class Returns &amp; Weights'!$G$15*'(Bootstrap Simulation)'!I106</f>
        <v>147.07198780953661</v>
      </c>
      <c r="K106" s="63">
        <f t="shared" ca="1" si="10"/>
        <v>1.7815976784177421</v>
      </c>
      <c r="L106" s="58">
        <f t="shared" ca="1" si="11"/>
        <v>114.95112423221627</v>
      </c>
      <c r="N106">
        <f t="shared" si="7"/>
        <v>105</v>
      </c>
      <c r="O106" s="63">
        <v>1.6098956416208494</v>
      </c>
      <c r="P106" s="62">
        <v>88.959868293623799</v>
      </c>
    </row>
    <row r="107" spans="1:16" x14ac:dyDescent="0.2">
      <c r="A107" s="39">
        <f ca="1">RANDBETWEEN(ROW('Asset Class Returns &amp; Weights'!$A$23),ROW('Asset Class Returns &amp; Weights'!$A$166))</f>
        <v>53</v>
      </c>
      <c r="B107" s="56" cm="1">
        <f t="array" aca="1" ref="B107" ca="1">INDIRECT("'Asset Class Returns &amp; Weights'!A"&amp;$A107)</f>
        <v>42369</v>
      </c>
      <c r="C107" s="74" cm="1">
        <f t="array" aca="1" ref="C107" ca="1">INDIRECT("'Asset Class Returns &amp; Weights'!AA"&amp;$A107)</f>
        <v>-0.60205936122706527</v>
      </c>
      <c r="D107" s="4">
        <f t="shared" ca="1" si="8"/>
        <v>0.9939794063877293</v>
      </c>
      <c r="E107" s="4">
        <f t="shared" ca="1" si="12"/>
        <v>1.7296705767943839</v>
      </c>
      <c r="F107" s="60">
        <f ca="1">'Asset Class Returns &amp; Weights'!$G$14*'(Bootstrap Simulation)'!E107</f>
        <v>260.44557736712699</v>
      </c>
      <c r="G107" s="74" cm="1">
        <f t="array" aca="1" ref="G107" ca="1">INDIRECT("'Asset Class Returns &amp; Weights'!AI"&amp;$A107)</f>
        <v>-9.6527777777777896E-3</v>
      </c>
      <c r="H107" s="4">
        <f t="shared" ca="1" si="9"/>
        <v>0.9999034722222222</v>
      </c>
      <c r="I107" s="4">
        <f t="shared" ca="1" si="13"/>
        <v>0.97543128132010737</v>
      </c>
      <c r="J107" s="60">
        <f ca="1">'Asset Class Returns &amp; Weights'!$G$15*'(Bootstrap Simulation)'!I107</f>
        <v>147.05779127738001</v>
      </c>
      <c r="K107" s="63">
        <f t="shared" ca="1" si="10"/>
        <v>1.7710423575985528</v>
      </c>
      <c r="L107" s="58">
        <f t="shared" ca="1" si="11"/>
        <v>113.38778608974698</v>
      </c>
      <c r="N107">
        <f t="shared" si="7"/>
        <v>106</v>
      </c>
      <c r="O107" s="63">
        <v>2.0090752020118741</v>
      </c>
      <c r="P107" s="62">
        <v>146.69119464934701</v>
      </c>
    </row>
    <row r="108" spans="1:16" x14ac:dyDescent="0.2">
      <c r="A108" s="39">
        <f ca="1">RANDBETWEEN(ROW('Asset Class Returns &amp; Weights'!$A$23),ROW('Asset Class Returns &amp; Weights'!$A$166))</f>
        <v>31</v>
      </c>
      <c r="B108" s="56" cm="1">
        <f t="array" aca="1" ref="B108" ca="1">INDIRECT("'Asset Class Returns &amp; Weights'!A"&amp;$A108)</f>
        <v>41698</v>
      </c>
      <c r="C108" s="74" cm="1">
        <f t="array" aca="1" ref="C108" ca="1">INDIRECT("'Asset Class Returns &amp; Weights'!AA"&amp;$A108)</f>
        <v>2.1320616401803507</v>
      </c>
      <c r="D108" s="4">
        <f t="shared" ca="1" si="8"/>
        <v>1.0213206164018036</v>
      </c>
      <c r="E108" s="4">
        <f t="shared" ca="1" si="12"/>
        <v>1.7665482196637032</v>
      </c>
      <c r="F108" s="60">
        <f ca="1">'Asset Class Returns &amp; Weights'!$G$14*'(Bootstrap Simulation)'!E108</f>
        <v>265.99843761571776</v>
      </c>
      <c r="G108" s="74" cm="1">
        <f t="array" aca="1" ref="G108" ca="1">INDIRECT("'Asset Class Returns &amp; Weights'!AI"&amp;$A108)</f>
        <v>2.013888888888888E-2</v>
      </c>
      <c r="H108" s="4">
        <f t="shared" ca="1" si="9"/>
        <v>1.000201388888889</v>
      </c>
      <c r="I108" s="4">
        <f t="shared" ca="1" si="13"/>
        <v>0.97562772234203998</v>
      </c>
      <c r="J108" s="60">
        <f ca="1">'Asset Class Returns &amp; Weights'!$G$15*'(Bootstrap Simulation)'!I108</f>
        <v>147.08740708256784</v>
      </c>
      <c r="K108" s="63">
        <f t="shared" ca="1" si="10"/>
        <v>1.8084378730423807</v>
      </c>
      <c r="L108" s="58">
        <f t="shared" ca="1" si="11"/>
        <v>118.91103053314993</v>
      </c>
      <c r="N108">
        <f t="shared" si="7"/>
        <v>107</v>
      </c>
      <c r="O108" s="63">
        <v>1.1742905329658528</v>
      </c>
      <c r="P108" s="62">
        <v>25.88477737941443</v>
      </c>
    </row>
    <row r="109" spans="1:16" x14ac:dyDescent="0.2">
      <c r="A109" s="39">
        <f ca="1">RANDBETWEEN(ROW('Asset Class Returns &amp; Weights'!$A$23),ROW('Asset Class Returns &amp; Weights'!$A$166))</f>
        <v>142</v>
      </c>
      <c r="B109" s="56" cm="1">
        <f t="array" aca="1" ref="B109" ca="1">INDIRECT("'Asset Class Returns &amp; Weights'!A"&amp;$A109)</f>
        <v>45291</v>
      </c>
      <c r="C109" s="74" cm="1">
        <f t="array" aca="1" ref="C109" ca="1">INDIRECT("'Asset Class Returns &amp; Weights'!AA"&amp;$A109)</f>
        <v>3.580071379617352</v>
      </c>
      <c r="D109" s="4">
        <f t="shared" ca="1" si="8"/>
        <v>1.0358007137961736</v>
      </c>
      <c r="E109" s="4">
        <f t="shared" ca="1" si="12"/>
        <v>1.8297919068830235</v>
      </c>
      <c r="F109" s="60">
        <f ca="1">'Asset Class Returns &amp; Weights'!$G$14*'(Bootstrap Simulation)'!E109</f>
        <v>275.52137155102741</v>
      </c>
      <c r="G109" s="74" cm="1">
        <f t="array" aca="1" ref="G109" ca="1">INDIRECT("'Asset Class Returns &amp; Weights'!AI"&amp;$A109)</f>
        <v>0.10123611111111112</v>
      </c>
      <c r="H109" s="4">
        <f t="shared" ca="1" si="9"/>
        <v>1.001012361111111</v>
      </c>
      <c r="I109" s="4">
        <f t="shared" ca="1" si="13"/>
        <v>0.97661540990706086</v>
      </c>
      <c r="J109" s="60">
        <f ca="1">'Asset Class Returns &amp; Weights'!$G$15*'(Bootstrap Simulation)'!I109</f>
        <v>147.23631265343238</v>
      </c>
      <c r="K109" s="63">
        <f t="shared" ca="1" si="10"/>
        <v>1.8712868217472605</v>
      </c>
      <c r="L109" s="58">
        <f t="shared" ca="1" si="11"/>
        <v>128.28505889759504</v>
      </c>
      <c r="N109">
        <f t="shared" si="7"/>
        <v>108</v>
      </c>
      <c r="O109" s="63">
        <v>1.8441803088045106</v>
      </c>
      <c r="P109" s="62">
        <v>124.34333216483557</v>
      </c>
    </row>
    <row r="110" spans="1:16" x14ac:dyDescent="0.2">
      <c r="A110" s="39">
        <f ca="1">RANDBETWEEN(ROW('Asset Class Returns &amp; Weights'!$A$23),ROW('Asset Class Returns &amp; Weights'!$A$166))</f>
        <v>162</v>
      </c>
      <c r="B110" s="56" cm="1">
        <f t="array" aca="1" ref="B110" ca="1">INDIRECT("'Asset Class Returns &amp; Weights'!A"&amp;$A110)</f>
        <v>45900</v>
      </c>
      <c r="C110" s="74" cm="1">
        <f t="array" aca="1" ref="C110" ca="1">INDIRECT("'Asset Class Returns &amp; Weights'!AA"&amp;$A110)</f>
        <v>-3.7635693365227305E-2</v>
      </c>
      <c r="D110" s="4">
        <f t="shared" ca="1" si="8"/>
        <v>0.99962364306634777</v>
      </c>
      <c r="E110" s="4">
        <f t="shared" ca="1" si="12"/>
        <v>1.8291032520117274</v>
      </c>
      <c r="F110" s="60">
        <f ca="1">'Asset Class Returns &amp; Weights'!$G$14*'(Bootstrap Simulation)'!E110</f>
        <v>275.41767717247484</v>
      </c>
      <c r="G110" s="74" cm="1">
        <f t="array" aca="1" ref="G110" ca="1">INDIRECT("'Asset Class Returns &amp; Weights'!AI"&amp;$A110)</f>
        <v>0.20109722222222221</v>
      </c>
      <c r="H110" s="4">
        <f t="shared" ca="1" si="9"/>
        <v>1.0020109722222221</v>
      </c>
      <c r="I110" s="4">
        <f t="shared" ca="1" si="13"/>
        <v>0.97857935636817805</v>
      </c>
      <c r="J110" s="60">
        <f ca="1">'Asset Class Returns &amp; Weights'!$G$15*'(Bootstrap Simulation)'!I110</f>
        <v>147.53240078828082</v>
      </c>
      <c r="K110" s="63">
        <f t="shared" ca="1" si="10"/>
        <v>1.8668284099010779</v>
      </c>
      <c r="L110" s="58">
        <f t="shared" ca="1" si="11"/>
        <v>127.88527638419401</v>
      </c>
      <c r="N110">
        <f t="shared" si="7"/>
        <v>109</v>
      </c>
      <c r="O110" s="63">
        <v>1.3732596310941378</v>
      </c>
      <c r="P110" s="62">
        <v>54.603933258495147</v>
      </c>
    </row>
    <row r="111" spans="1:16" x14ac:dyDescent="0.2">
      <c r="A111" s="39">
        <f ca="1">RANDBETWEEN(ROW('Asset Class Returns &amp; Weights'!$A$23),ROW('Asset Class Returns &amp; Weights'!$A$166))</f>
        <v>93</v>
      </c>
      <c r="B111" s="56" cm="1">
        <f t="array" aca="1" ref="B111" ca="1">INDIRECT("'Asset Class Returns &amp; Weights'!A"&amp;$A111)</f>
        <v>43799</v>
      </c>
      <c r="C111" s="74" cm="1">
        <f t="array" aca="1" ref="C111" ca="1">INDIRECT("'Asset Class Returns &amp; Weights'!AA"&amp;$A111)</f>
        <v>1.3072997744824202</v>
      </c>
      <c r="D111" s="4">
        <f t="shared" ca="1" si="8"/>
        <v>1.0130729977448243</v>
      </c>
      <c r="E111" s="4">
        <f t="shared" ca="1" si="12"/>
        <v>1.8530151147003275</v>
      </c>
      <c r="F111" s="60">
        <f ca="1">'Asset Class Returns &amp; Weights'!$G$14*'(Bootstrap Simulation)'!E111</f>
        <v>279.01821184503535</v>
      </c>
      <c r="G111" s="74" cm="1">
        <f t="array" aca="1" ref="G111" ca="1">INDIRECT("'Asset Class Returns &amp; Weights'!AI"&amp;$A111)</f>
        <v>-0.12890277777777781</v>
      </c>
      <c r="H111" s="4">
        <f t="shared" ca="1" si="9"/>
        <v>0.99871097222222227</v>
      </c>
      <c r="I111" s="4">
        <f t="shared" ca="1" si="13"/>
        <v>0.97731794039505959</v>
      </c>
      <c r="J111" s="60">
        <f ca="1">'Asset Class Returns &amp; Weights'!$G$15*'(Bootstrap Simulation)'!I111</f>
        <v>147.34222742554249</v>
      </c>
      <c r="K111" s="63">
        <f t="shared" ca="1" si="10"/>
        <v>1.8936744524649842</v>
      </c>
      <c r="L111" s="58">
        <f t="shared" ca="1" si="11"/>
        <v>131.67598441949286</v>
      </c>
      <c r="N111">
        <f t="shared" si="7"/>
        <v>110</v>
      </c>
      <c r="O111" s="63">
        <v>1.5734662569747191</v>
      </c>
      <c r="P111" s="62">
        <v>85.48107224715838</v>
      </c>
    </row>
    <row r="112" spans="1:16" x14ac:dyDescent="0.2">
      <c r="A112" s="39">
        <f ca="1">RANDBETWEEN(ROW('Asset Class Returns &amp; Weights'!$A$23),ROW('Asset Class Returns &amp; Weights'!$A$166))</f>
        <v>23</v>
      </c>
      <c r="B112" s="56" cm="1">
        <f t="array" aca="1" ref="B112" ca="1">INDIRECT("'Asset Class Returns &amp; Weights'!A"&amp;$A112)</f>
        <v>41455</v>
      </c>
      <c r="C112" s="74" cm="1">
        <f t="array" aca="1" ref="C112" ca="1">INDIRECT("'Asset Class Returns &amp; Weights'!AA"&amp;$A112)</f>
        <v>-3.1231512210139143</v>
      </c>
      <c r="D112" s="4">
        <f t="shared" ca="1" si="8"/>
        <v>0.96876848778986091</v>
      </c>
      <c r="E112" s="4">
        <f t="shared" ca="1" si="12"/>
        <v>1.7951426505199919</v>
      </c>
      <c r="F112" s="60">
        <f ca="1">'Asset Class Returns &amp; Weights'!$G$14*'(Bootstrap Simulation)'!E112</f>
        <v>270.30405115494591</v>
      </c>
      <c r="G112" s="74" cm="1">
        <f t="array" aca="1" ref="G112" ca="1">INDIRECT("'Asset Class Returns &amp; Weights'!AI"&amp;$A112)</f>
        <v>1.5152777777777774E-2</v>
      </c>
      <c r="H112" s="4">
        <f t="shared" ca="1" si="9"/>
        <v>1.0001515277777777</v>
      </c>
      <c r="I112" s="4">
        <f t="shared" ca="1" si="13"/>
        <v>0.97746603121074993</v>
      </c>
      <c r="J112" s="60">
        <f ca="1">'Asset Class Returns &amp; Weights'!$G$15*'(Bootstrap Simulation)'!I112</f>
        <v>147.36455386583711</v>
      </c>
      <c r="K112" s="63">
        <f t="shared" ca="1" si="10"/>
        <v>1.8342541952187141</v>
      </c>
      <c r="L112" s="58">
        <f t="shared" ca="1" si="11"/>
        <v>122.9394972891088</v>
      </c>
      <c r="N112">
        <f t="shared" si="7"/>
        <v>111</v>
      </c>
      <c r="O112" s="63">
        <v>1.9006611532875666</v>
      </c>
      <c r="P112" s="62">
        <v>132.99891973356688</v>
      </c>
    </row>
    <row r="113" spans="1:16" x14ac:dyDescent="0.2">
      <c r="A113" s="39">
        <f ca="1">RANDBETWEEN(ROW('Asset Class Returns &amp; Weights'!$A$23),ROW('Asset Class Returns &amp; Weights'!$A$166))</f>
        <v>50</v>
      </c>
      <c r="B113" s="56" cm="1">
        <f t="array" aca="1" ref="B113" ca="1">INDIRECT("'Asset Class Returns &amp; Weights'!A"&amp;$A113)</f>
        <v>42277</v>
      </c>
      <c r="C113" s="74" cm="1">
        <f t="array" aca="1" ref="C113" ca="1">INDIRECT("'Asset Class Returns &amp; Weights'!AA"&amp;$A113)</f>
        <v>-0.94912629185626851</v>
      </c>
      <c r="D113" s="4">
        <f t="shared" ca="1" si="8"/>
        <v>0.99050873708143727</v>
      </c>
      <c r="E113" s="4">
        <f t="shared" ca="1" si="12"/>
        <v>1.7781044796475811</v>
      </c>
      <c r="F113" s="60">
        <f ca="1">'Asset Class Returns &amp; Weights'!$G$14*'(Bootstrap Simulation)'!E113</f>
        <v>267.73852433748169</v>
      </c>
      <c r="G113" s="74" cm="1">
        <f t="array" aca="1" ref="G113" ca="1">INDIRECT("'Asset Class Returns &amp; Weights'!AI"&amp;$A113)</f>
        <v>-2.7708333333333335E-2</v>
      </c>
      <c r="H113" s="4">
        <f t="shared" ca="1" si="9"/>
        <v>0.99972291666666668</v>
      </c>
      <c r="I113" s="4">
        <f t="shared" ca="1" si="13"/>
        <v>0.977195191664602</v>
      </c>
      <c r="J113" s="60">
        <f ca="1">'Asset Class Returns &amp; Weights'!$G$15*'(Bootstrap Simulation)'!I113</f>
        <v>147.32372160403679</v>
      </c>
      <c r="K113" s="63">
        <f t="shared" ca="1" si="10"/>
        <v>1.8173483633347574</v>
      </c>
      <c r="L113" s="58">
        <f t="shared" ca="1" si="11"/>
        <v>120.4148027334449</v>
      </c>
      <c r="N113">
        <f t="shared" si="7"/>
        <v>112</v>
      </c>
      <c r="O113" s="63">
        <v>1.5112782621686949</v>
      </c>
      <c r="P113" s="62">
        <v>75.485561934495564</v>
      </c>
    </row>
    <row r="114" spans="1:16" x14ac:dyDescent="0.2">
      <c r="A114" s="39">
        <f ca="1">RANDBETWEEN(ROW('Asset Class Returns &amp; Weights'!$A$23),ROW('Asset Class Returns &amp; Weights'!$A$166))</f>
        <v>57</v>
      </c>
      <c r="B114" s="56" cm="1">
        <f t="array" aca="1" ref="B114" ca="1">INDIRECT("'Asset Class Returns &amp; Weights'!A"&amp;$A114)</f>
        <v>42490</v>
      </c>
      <c r="C114" s="74" cm="1">
        <f t="array" aca="1" ref="C114" ca="1">INDIRECT("'Asset Class Returns &amp; Weights'!AA"&amp;$A114)</f>
        <v>0.44664249623499269</v>
      </c>
      <c r="D114" s="4">
        <f t="shared" ca="1" si="8"/>
        <v>1.0044664249623498</v>
      </c>
      <c r="E114" s="4">
        <f t="shared" ca="1" si="12"/>
        <v>1.7860462498811451</v>
      </c>
      <c r="F114" s="60">
        <f ca="1">'Asset Class Returns &amp; Weights'!$G$14*'(Bootstrap Simulation)'!E114</f>
        <v>268.93435836596535</v>
      </c>
      <c r="G114" s="74" cm="1">
        <f t="array" aca="1" ref="G114" ca="1">INDIRECT("'Asset Class Returns &amp; Weights'!AI"&amp;$A114)</f>
        <v>-3.5513888888888893E-2</v>
      </c>
      <c r="H114" s="4">
        <f t="shared" ca="1" si="9"/>
        <v>0.99964486111111106</v>
      </c>
      <c r="I114" s="4">
        <f t="shared" ca="1" si="13"/>
        <v>0.9768481516500066</v>
      </c>
      <c r="J114" s="60">
        <f ca="1">'Asset Class Returns &amp; Weights'!$G$15*'(Bootstrap Simulation)'!I114</f>
        <v>147.27140122123936</v>
      </c>
      <c r="K114" s="63">
        <f t="shared" ca="1" si="10"/>
        <v>1.8261139375047915</v>
      </c>
      <c r="L114" s="58">
        <f t="shared" ca="1" si="11"/>
        <v>121.66295714472599</v>
      </c>
      <c r="N114">
        <f t="shared" si="7"/>
        <v>113</v>
      </c>
      <c r="O114" s="63">
        <v>1.5030255005877209</v>
      </c>
      <c r="P114" s="62">
        <v>73.893558300470431</v>
      </c>
    </row>
    <row r="115" spans="1:16" x14ac:dyDescent="0.2">
      <c r="A115" s="39">
        <f ca="1">RANDBETWEEN(ROW('Asset Class Returns &amp; Weights'!$A$23),ROW('Asset Class Returns &amp; Weights'!$A$166))</f>
        <v>114</v>
      </c>
      <c r="B115" s="56" cm="1">
        <f t="array" aca="1" ref="B115" ca="1">INDIRECT("'Asset Class Returns &amp; Weights'!A"&amp;$A115)</f>
        <v>44439</v>
      </c>
      <c r="C115" s="74" cm="1">
        <f t="array" aca="1" ref="C115" ca="1">INDIRECT("'Asset Class Returns &amp; Weights'!AA"&amp;$A115)</f>
        <v>1.4799167353491935</v>
      </c>
      <c r="D115" s="4">
        <f t="shared" ca="1" si="8"/>
        <v>1.014799167353492</v>
      </c>
      <c r="E115" s="4">
        <f t="shared" ca="1" si="12"/>
        <v>1.8124782472342129</v>
      </c>
      <c r="F115" s="60">
        <f ca="1">'Asset Class Returns &amp; Weights'!$G$14*'(Bootstrap Simulation)'!E115</f>
        <v>272.91436294252725</v>
      </c>
      <c r="G115" s="74" cm="1">
        <f t="array" aca="1" ref="G115" ca="1">INDIRECT("'Asset Class Returns &amp; Weights'!AI"&amp;$A115)</f>
        <v>-0.16869444444444445</v>
      </c>
      <c r="H115" s="4">
        <f t="shared" ca="1" si="9"/>
        <v>0.99831305555555561</v>
      </c>
      <c r="I115" s="4">
        <f t="shared" ca="1" si="13"/>
        <v>0.97520026308751484</v>
      </c>
      <c r="J115" s="60">
        <f ca="1">'Asset Class Returns &amp; Weights'!$G$15*'(Bootstrap Simulation)'!I115</f>
        <v>147.02296254912363</v>
      </c>
      <c r="K115" s="63">
        <f t="shared" ca="1" si="10"/>
        <v>1.8562703281899962</v>
      </c>
      <c r="L115" s="58">
        <f t="shared" ca="1" si="11"/>
        <v>125.89140039340361</v>
      </c>
      <c r="N115">
        <f t="shared" si="7"/>
        <v>114</v>
      </c>
      <c r="O115" s="63">
        <v>1.7096172063043626</v>
      </c>
      <c r="P115" s="62">
        <v>103.10374354975855</v>
      </c>
    </row>
    <row r="116" spans="1:16" x14ac:dyDescent="0.2">
      <c r="A116" s="39">
        <f ca="1">RANDBETWEEN(ROW('Asset Class Returns &amp; Weights'!$A$23),ROW('Asset Class Returns &amp; Weights'!$A$166))</f>
        <v>100</v>
      </c>
      <c r="B116" s="56" cm="1">
        <f t="array" aca="1" ref="B116" ca="1">INDIRECT("'Asset Class Returns &amp; Weights'!A"&amp;$A116)</f>
        <v>44012</v>
      </c>
      <c r="C116" s="74" cm="1">
        <f t="array" aca="1" ref="C116" ca="1">INDIRECT("'Asset Class Returns &amp; Weights'!AA"&amp;$A116)</f>
        <v>1.4570599695124704</v>
      </c>
      <c r="D116" s="4">
        <f t="shared" ca="1" si="8"/>
        <v>1.0145705996951246</v>
      </c>
      <c r="E116" s="4">
        <f t="shared" ca="1" si="12"/>
        <v>1.8388871422307838</v>
      </c>
      <c r="F116" s="60">
        <f ca="1">'Asset Class Returns &amp; Weights'!$G$14*'(Bootstrap Simulation)'!E116</f>
        <v>276.89088887601275</v>
      </c>
      <c r="G116" s="74" cm="1">
        <f t="array" aca="1" ref="G116" ca="1">INDIRECT("'Asset Class Returns &amp; Weights'!AI"&amp;$A116)</f>
        <v>-0.16695833333333335</v>
      </c>
      <c r="H116" s="4">
        <f t="shared" ca="1" si="9"/>
        <v>0.99833041666666666</v>
      </c>
      <c r="I116" s="4">
        <f t="shared" ca="1" si="13"/>
        <v>0.97357208498160164</v>
      </c>
      <c r="J116" s="60">
        <f ca="1">'Asset Class Returns &amp; Weights'!$G$15*'(Bootstrap Simulation)'!I116</f>
        <v>146.77749546123434</v>
      </c>
      <c r="K116" s="63">
        <f t="shared" ca="1" si="10"/>
        <v>1.8864669137861321</v>
      </c>
      <c r="L116" s="58">
        <f t="shared" ca="1" si="11"/>
        <v>130.11339341477841</v>
      </c>
      <c r="N116">
        <f t="shared" si="7"/>
        <v>115</v>
      </c>
      <c r="O116" s="63">
        <v>1.4089775931685589</v>
      </c>
      <c r="P116" s="62">
        <v>58.954242190168316</v>
      </c>
    </row>
    <row r="117" spans="1:16" x14ac:dyDescent="0.2">
      <c r="A117" s="39">
        <f ca="1">RANDBETWEEN(ROW('Asset Class Returns &amp; Weights'!$A$23),ROW('Asset Class Returns &amp; Weights'!$A$166))</f>
        <v>32</v>
      </c>
      <c r="B117" s="56" cm="1">
        <f t="array" aca="1" ref="B117" ca="1">INDIRECT("'Asset Class Returns &amp; Weights'!A"&amp;$A117)</f>
        <v>41729</v>
      </c>
      <c r="C117" s="74" cm="1">
        <f t="array" aca="1" ref="C117" ca="1">INDIRECT("'Asset Class Returns &amp; Weights'!AA"&amp;$A117)</f>
        <v>-0.42414010254649709</v>
      </c>
      <c r="D117" s="4">
        <f t="shared" ca="1" si="8"/>
        <v>0.995758598974535</v>
      </c>
      <c r="E117" s="4">
        <f t="shared" ca="1" si="12"/>
        <v>1.8310876844200117</v>
      </c>
      <c r="F117" s="60">
        <f ca="1">'Asset Class Returns &amp; Weights'!$G$14*'(Bootstrap Simulation)'!E117</f>
        <v>275.71648357599213</v>
      </c>
      <c r="G117" s="74" cm="1">
        <f t="array" aca="1" ref="G117" ca="1">INDIRECT("'Asset Class Returns &amp; Weights'!AI"&amp;$A117)</f>
        <v>1.9805555555555548E-2</v>
      </c>
      <c r="H117" s="4">
        <f t="shared" ca="1" si="9"/>
        <v>1.0001980555555556</v>
      </c>
      <c r="I117" s="4">
        <f t="shared" ca="1" si="13"/>
        <v>0.97376490634176616</v>
      </c>
      <c r="J117" s="60">
        <f ca="1">'Asset Class Returns &amp; Weights'!$G$15*'(Bootstrap Simulation)'!I117</f>
        <v>146.80656555964097</v>
      </c>
      <c r="K117" s="63">
        <f t="shared" ca="1" si="10"/>
        <v>1.8780936841954852</v>
      </c>
      <c r="L117" s="58">
        <f t="shared" ca="1" si="11"/>
        <v>128.90991801635116</v>
      </c>
      <c r="N117">
        <f t="shared" si="7"/>
        <v>116</v>
      </c>
      <c r="O117" s="63">
        <v>1.3331412829952296</v>
      </c>
      <c r="P117" s="62">
        <v>49.176450338025433</v>
      </c>
    </row>
    <row r="118" spans="1:16" x14ac:dyDescent="0.2">
      <c r="A118" s="39">
        <f ca="1">RANDBETWEEN(ROW('Asset Class Returns &amp; Weights'!$A$23),ROW('Asset Class Returns &amp; Weights'!$A$166))</f>
        <v>54</v>
      </c>
      <c r="B118" s="56" cm="1">
        <f t="array" aca="1" ref="B118" ca="1">INDIRECT("'Asset Class Returns &amp; Weights'!A"&amp;$A118)</f>
        <v>42400</v>
      </c>
      <c r="C118" s="74" cm="1">
        <f t="array" aca="1" ref="C118" ca="1">INDIRECT("'Asset Class Returns &amp; Weights'!AA"&amp;$A118)</f>
        <v>-1.3845334693391671</v>
      </c>
      <c r="D118" s="4">
        <f t="shared" ca="1" si="8"/>
        <v>0.98615466530660834</v>
      </c>
      <c r="E118" s="4">
        <f t="shared" ca="1" si="12"/>
        <v>1.8057356625762691</v>
      </c>
      <c r="F118" s="60">
        <f ca="1">'Asset Class Returns &amp; Weights'!$G$14*'(Bootstrap Simulation)'!E118</f>
        <v>271.8990965803975</v>
      </c>
      <c r="G118" s="74" cm="1">
        <f t="array" aca="1" ref="G118" ca="1">INDIRECT("'Asset Class Returns &amp; Weights'!AI"&amp;$A118)</f>
        <v>-3.5791666666666666E-2</v>
      </c>
      <c r="H118" s="4">
        <f t="shared" ca="1" si="9"/>
        <v>0.99964208333333338</v>
      </c>
      <c r="I118" s="4">
        <f t="shared" ca="1" si="13"/>
        <v>0.97341637965237138</v>
      </c>
      <c r="J118" s="60">
        <f ca="1">'Asset Class Returns &amp; Weights'!$G$15*'(Bootstrap Simulation)'!I118</f>
        <v>146.7540210430511</v>
      </c>
      <c r="K118" s="63">
        <f t="shared" ca="1" si="10"/>
        <v>1.8527539800809574</v>
      </c>
      <c r="L118" s="58">
        <f t="shared" ca="1" si="11"/>
        <v>125.1450755373464</v>
      </c>
      <c r="N118">
        <f t="shared" si="7"/>
        <v>117</v>
      </c>
      <c r="O118" s="63">
        <v>1.0739906766333562</v>
      </c>
      <c r="P118" s="62">
        <v>10.857338598568617</v>
      </c>
    </row>
    <row r="119" spans="1:16" x14ac:dyDescent="0.2">
      <c r="A119" s="39">
        <f ca="1">RANDBETWEEN(ROW('Asset Class Returns &amp; Weights'!$A$23),ROW('Asset Class Returns &amp; Weights'!$A$166))</f>
        <v>44</v>
      </c>
      <c r="B119" s="56" cm="1">
        <f t="array" aca="1" ref="B119" ca="1">INDIRECT("'Asset Class Returns &amp; Weights'!A"&amp;$A119)</f>
        <v>42094</v>
      </c>
      <c r="C119" s="74" cm="1">
        <f t="array" aca="1" ref="C119" ca="1">INDIRECT("'Asset Class Returns &amp; Weights'!AA"&amp;$A119)</f>
        <v>0.79790760681101336</v>
      </c>
      <c r="D119" s="4">
        <f t="shared" ca="1" si="8"/>
        <v>1.0079790760681102</v>
      </c>
      <c r="E119" s="4">
        <f t="shared" ca="1" si="12"/>
        <v>1.8201437647868646</v>
      </c>
      <c r="F119" s="60">
        <f ca="1">'Asset Class Returns &amp; Weights'!$G$14*'(Bootstrap Simulation)'!E119</f>
        <v>274.06860015486296</v>
      </c>
      <c r="G119" s="74" cm="1">
        <f t="array" aca="1" ref="G119" ca="1">INDIRECT("'Asset Class Returns &amp; Weights'!AI"&amp;$A119)</f>
        <v>-4.2666666666666672E-2</v>
      </c>
      <c r="H119" s="4">
        <f t="shared" ca="1" si="9"/>
        <v>0.99957333333333331</v>
      </c>
      <c r="I119" s="4">
        <f t="shared" ca="1" si="13"/>
        <v>0.97300105533038639</v>
      </c>
      <c r="J119" s="60">
        <f ca="1">'Asset Class Returns &amp; Weights'!$G$15*'(Bootstrap Simulation)'!I119</f>
        <v>146.69140599407271</v>
      </c>
      <c r="K119" s="63">
        <f t="shared" ca="1" si="10"/>
        <v>1.8683344010346259</v>
      </c>
      <c r="L119" s="58">
        <f t="shared" ca="1" si="11"/>
        <v>127.37719416079025</v>
      </c>
      <c r="N119">
        <f t="shared" si="7"/>
        <v>118</v>
      </c>
      <c r="O119" s="63">
        <v>1.640444321511622</v>
      </c>
      <c r="P119" s="62">
        <v>96.570961529927047</v>
      </c>
    </row>
    <row r="120" spans="1:16" ht="16" thickBot="1" x14ac:dyDescent="0.25">
      <c r="A120" s="39">
        <f ca="1">RANDBETWEEN(ROW('Asset Class Returns &amp; Weights'!$A$23),ROW('Asset Class Returns &amp; Weights'!$A$166))</f>
        <v>128</v>
      </c>
      <c r="B120" s="56" cm="1">
        <f t="array" aca="1" ref="B120" ca="1">INDIRECT("'Asset Class Returns &amp; Weights'!A"&amp;$A120)</f>
        <v>44865</v>
      </c>
      <c r="C120" s="74" cm="1">
        <f t="array" aca="1" ref="C120" ca="1">INDIRECT("'Asset Class Returns &amp; Weights'!AA"&amp;$A120)</f>
        <v>2.2441569439350513</v>
      </c>
      <c r="D120" s="4">
        <f t="shared" ca="1" si="8"/>
        <v>1.0224415694393505</v>
      </c>
      <c r="E120" s="4">
        <f t="shared" ca="1" si="12"/>
        <v>1.8609906474739297</v>
      </c>
      <c r="F120" s="60">
        <f ca="1">'Asset Class Returns &amp; Weights'!$G$14*'(Bootstrap Simulation)'!E120</f>
        <v>280.21912967638389</v>
      </c>
      <c r="G120" s="74" cm="1">
        <f t="array" aca="1" ref="G120" ca="1">INDIRECT("'Asset Class Returns &amp; Weights'!AI"&amp;$A120)</f>
        <v>7.7222222222222234E-2</v>
      </c>
      <c r="H120" s="4">
        <f t="shared" ca="1" si="9"/>
        <v>1.0007722222222222</v>
      </c>
      <c r="I120" s="4">
        <f t="shared" ca="1" si="13"/>
        <v>0.97375242836755815</v>
      </c>
      <c r="J120" s="60">
        <f ca="1">'Asset Class Returns &amp; Weights'!$G$15*'(Bootstrap Simulation)'!I120</f>
        <v>146.80468435759036</v>
      </c>
      <c r="K120" s="63">
        <f t="shared" ca="1" si="10"/>
        <v>1.9087887481425281</v>
      </c>
      <c r="L120" s="58">
        <f t="shared" ca="1" si="11"/>
        <v>133.41444531879353</v>
      </c>
      <c r="N120">
        <f t="shared" si="7"/>
        <v>119</v>
      </c>
      <c r="O120" s="63">
        <v>1.7171907563679902</v>
      </c>
      <c r="P120" s="62">
        <v>104.7603348627342</v>
      </c>
    </row>
    <row r="121" spans="1:16" ht="16" thickBot="1" x14ac:dyDescent="0.25">
      <c r="A121" s="44">
        <f ca="1">RANDBETWEEN(ROW('Asset Class Returns &amp; Weights'!$A$23),ROW('Asset Class Returns &amp; Weights'!$A$166))</f>
        <v>25</v>
      </c>
      <c r="B121" s="56" cm="1">
        <f t="array" aca="1" ref="B121" ca="1">INDIRECT("'Asset Class Returns &amp; Weights'!A"&amp;$A121)</f>
        <v>41517</v>
      </c>
      <c r="C121" s="75" cm="1">
        <f t="array" aca="1" ref="C121" ca="1">INDIRECT("'Asset Class Returns &amp; Weights'!AA"&amp;$A121)</f>
        <v>-1.8423176925388944</v>
      </c>
      <c r="D121" s="4">
        <f t="shared" ca="1" si="8"/>
        <v>0.98157682307461103</v>
      </c>
      <c r="E121" s="4">
        <f t="shared" ca="1" si="12"/>
        <v>1.8267052875190233</v>
      </c>
      <c r="F121" s="61">
        <f ca="1">'Asset Class Returns &amp; Weights'!$G$14*'(Bootstrap Simulation)'!E121</f>
        <v>275.05660307247734</v>
      </c>
      <c r="G121" s="74" cm="1">
        <f t="array" aca="1" ref="G121" ca="1">INDIRECT("'Asset Class Returns &amp; Weights'!AI"&amp;$A121)</f>
        <v>1.4305555555555556E-2</v>
      </c>
      <c r="H121" s="4">
        <f t="shared" ca="1" si="9"/>
        <v>1.0001430555555555</v>
      </c>
      <c r="I121" s="4">
        <f t="shared" ca="1" si="13"/>
        <v>0.97389172906217181</v>
      </c>
      <c r="J121" s="61">
        <f ca="1">'Asset Class Returns &amp; Weights'!$G$15*'(Bootstrap Simulation)'!I121</f>
        <v>146.82568558326929</v>
      </c>
      <c r="K121" s="34">
        <f ca="1">F121/J121</f>
        <v>1.8733548015104238</v>
      </c>
      <c r="L121" s="64">
        <f t="shared" ca="1" si="11"/>
        <v>128.23091748920805</v>
      </c>
      <c r="N121">
        <f t="shared" si="7"/>
        <v>120</v>
      </c>
      <c r="O121" s="63">
        <v>1.9168342661534983</v>
      </c>
      <c r="P121" s="62">
        <v>135.6943041152675</v>
      </c>
    </row>
    <row r="122" spans="1:16" x14ac:dyDescent="0.2">
      <c r="N122">
        <f t="shared" si="7"/>
        <v>121</v>
      </c>
      <c r="O122" s="63">
        <v>1.1634109357883453</v>
      </c>
      <c r="P122" s="62">
        <v>23.673474433371496</v>
      </c>
    </row>
    <row r="123" spans="1:16" x14ac:dyDescent="0.2">
      <c r="N123">
        <f t="shared" si="7"/>
        <v>122</v>
      </c>
      <c r="O123" s="63">
        <v>1.6998080132728004</v>
      </c>
      <c r="P123" s="62">
        <v>103.80116950814383</v>
      </c>
    </row>
    <row r="124" spans="1:16" x14ac:dyDescent="0.2">
      <c r="N124">
        <f t="shared" si="7"/>
        <v>123</v>
      </c>
      <c r="O124" s="63">
        <v>1.7856946664051125</v>
      </c>
      <c r="P124" s="62">
        <v>114.21134438858522</v>
      </c>
    </row>
    <row r="125" spans="1:16" x14ac:dyDescent="0.2">
      <c r="N125">
        <f t="shared" si="7"/>
        <v>124</v>
      </c>
      <c r="O125" s="63">
        <v>2.0402258106649915</v>
      </c>
      <c r="P125" s="62">
        <v>155.89113441643906</v>
      </c>
    </row>
    <row r="126" spans="1:16" x14ac:dyDescent="0.2">
      <c r="N126">
        <f t="shared" si="7"/>
        <v>125</v>
      </c>
      <c r="O126" s="63">
        <v>1.4273658115866021</v>
      </c>
      <c r="P126" s="62">
        <v>63.615479687482235</v>
      </c>
    </row>
    <row r="127" spans="1:16" x14ac:dyDescent="0.2">
      <c r="N127">
        <f t="shared" si="7"/>
        <v>126</v>
      </c>
      <c r="O127" s="63">
        <v>1.7003977546930749</v>
      </c>
      <c r="P127" s="62">
        <v>103.04453684967541</v>
      </c>
    </row>
    <row r="128" spans="1:16" x14ac:dyDescent="0.2">
      <c r="N128">
        <f t="shared" si="7"/>
        <v>127</v>
      </c>
      <c r="O128" s="63">
        <v>1.6120164335313494</v>
      </c>
      <c r="P128" s="62">
        <v>89.323468803847987</v>
      </c>
    </row>
    <row r="129" spans="14:16" x14ac:dyDescent="0.2">
      <c r="N129">
        <f t="shared" si="7"/>
        <v>128</v>
      </c>
      <c r="O129" s="63">
        <v>1.917013555593873</v>
      </c>
      <c r="P129" s="62">
        <v>132.3080869650716</v>
      </c>
    </row>
    <row r="130" spans="14:16" x14ac:dyDescent="0.2">
      <c r="N130">
        <f t="shared" ref="N130:N193" si="14">ROW(N130)-1</f>
        <v>129</v>
      </c>
      <c r="O130" s="63">
        <v>1.6428524186664351</v>
      </c>
      <c r="P130" s="62">
        <v>96.6606763927727</v>
      </c>
    </row>
    <row r="131" spans="14:16" x14ac:dyDescent="0.2">
      <c r="N131">
        <f t="shared" si="14"/>
        <v>130</v>
      </c>
      <c r="O131" s="63">
        <v>1.9340887025844107</v>
      </c>
      <c r="P131" s="62">
        <v>140.45018036378931</v>
      </c>
    </row>
    <row r="132" spans="14:16" x14ac:dyDescent="0.2">
      <c r="N132">
        <f t="shared" si="14"/>
        <v>131</v>
      </c>
      <c r="O132" s="63">
        <v>1.290852297371327</v>
      </c>
      <c r="P132" s="62">
        <v>42.456221587850678</v>
      </c>
    </row>
    <row r="133" spans="14:16" x14ac:dyDescent="0.2">
      <c r="N133">
        <f t="shared" si="14"/>
        <v>132</v>
      </c>
      <c r="O133" s="63">
        <v>1.3418742887758777</v>
      </c>
      <c r="P133" s="62">
        <v>50.414396596025313</v>
      </c>
    </row>
    <row r="134" spans="14:16" x14ac:dyDescent="0.2">
      <c r="N134">
        <f t="shared" si="14"/>
        <v>133</v>
      </c>
      <c r="O134" s="63">
        <v>1.9723133747752293</v>
      </c>
      <c r="P134" s="62">
        <v>141.34648110268398</v>
      </c>
    </row>
    <row r="135" spans="14:16" x14ac:dyDescent="0.2">
      <c r="N135">
        <f t="shared" si="14"/>
        <v>134</v>
      </c>
      <c r="O135" s="63">
        <v>1.9055508683330245</v>
      </c>
      <c r="P135" s="62">
        <v>131.34112446746317</v>
      </c>
    </row>
    <row r="136" spans="14:16" x14ac:dyDescent="0.2">
      <c r="N136">
        <f t="shared" si="14"/>
        <v>135</v>
      </c>
      <c r="O136" s="63">
        <v>1.8951599113849533</v>
      </c>
      <c r="P136" s="62">
        <v>131.26251120772849</v>
      </c>
    </row>
    <row r="137" spans="14:16" x14ac:dyDescent="0.2">
      <c r="N137">
        <f t="shared" si="14"/>
        <v>136</v>
      </c>
      <c r="O137" s="63">
        <v>1.8248419231874131</v>
      </c>
      <c r="P137" s="62">
        <v>121.35108907922674</v>
      </c>
    </row>
    <row r="138" spans="14:16" x14ac:dyDescent="0.2">
      <c r="N138">
        <f t="shared" si="14"/>
        <v>137</v>
      </c>
      <c r="O138" s="63">
        <v>1.6819432558512148</v>
      </c>
      <c r="P138" s="62">
        <v>99.905644632507091</v>
      </c>
    </row>
    <row r="139" spans="14:16" x14ac:dyDescent="0.2">
      <c r="N139">
        <f t="shared" si="14"/>
        <v>138</v>
      </c>
      <c r="O139" s="63">
        <v>1.5687516945633184</v>
      </c>
      <c r="P139" s="62">
        <v>83.927651757625966</v>
      </c>
    </row>
    <row r="140" spans="14:16" x14ac:dyDescent="0.2">
      <c r="N140">
        <f t="shared" si="14"/>
        <v>139</v>
      </c>
      <c r="O140" s="63">
        <v>1.104588191593231</v>
      </c>
      <c r="P140" s="62">
        <v>15.403727382798166</v>
      </c>
    </row>
    <row r="141" spans="14:16" x14ac:dyDescent="0.2">
      <c r="N141">
        <f t="shared" si="14"/>
        <v>140</v>
      </c>
      <c r="O141" s="63">
        <v>1.399339598640182</v>
      </c>
      <c r="P141" s="62">
        <v>57.431091567287723</v>
      </c>
    </row>
    <row r="142" spans="14:16" x14ac:dyDescent="0.2">
      <c r="N142">
        <f t="shared" si="14"/>
        <v>141</v>
      </c>
      <c r="O142" s="63">
        <v>1.3425646555105539</v>
      </c>
      <c r="P142" s="62">
        <v>49.90850239061723</v>
      </c>
    </row>
    <row r="143" spans="14:16" x14ac:dyDescent="0.2">
      <c r="N143">
        <f t="shared" si="14"/>
        <v>142</v>
      </c>
      <c r="O143" s="63">
        <v>1.7168918337108461</v>
      </c>
      <c r="P143" s="62">
        <v>104.89875592439964</v>
      </c>
    </row>
    <row r="144" spans="14:16" x14ac:dyDescent="0.2">
      <c r="N144">
        <f t="shared" si="14"/>
        <v>143</v>
      </c>
      <c r="O144" s="63">
        <v>2.011839845874877</v>
      </c>
      <c r="P144" s="62">
        <v>147.00270718341454</v>
      </c>
    </row>
    <row r="145" spans="14:16" x14ac:dyDescent="0.2">
      <c r="N145">
        <f t="shared" si="14"/>
        <v>144</v>
      </c>
      <c r="O145" s="63">
        <v>2.2694042654045128</v>
      </c>
      <c r="P145" s="62">
        <v>186.57943289182248</v>
      </c>
    </row>
    <row r="146" spans="14:16" x14ac:dyDescent="0.2">
      <c r="N146">
        <f t="shared" si="14"/>
        <v>145</v>
      </c>
      <c r="O146" s="63">
        <v>1.5940171874321589</v>
      </c>
      <c r="P146" s="62">
        <v>87.05165338228116</v>
      </c>
    </row>
    <row r="147" spans="14:16" x14ac:dyDescent="0.2">
      <c r="N147">
        <f t="shared" si="14"/>
        <v>146</v>
      </c>
      <c r="O147" s="63">
        <v>1.8495968635012907</v>
      </c>
      <c r="P147" s="62">
        <v>122.88040218758329</v>
      </c>
    </row>
    <row r="148" spans="14:16" x14ac:dyDescent="0.2">
      <c r="N148">
        <f t="shared" si="14"/>
        <v>147</v>
      </c>
      <c r="O148" s="63">
        <v>1.5545173666866496</v>
      </c>
      <c r="P148" s="62">
        <v>82.523718853588548</v>
      </c>
    </row>
    <row r="149" spans="14:16" x14ac:dyDescent="0.2">
      <c r="N149">
        <f t="shared" si="14"/>
        <v>148</v>
      </c>
      <c r="O149" s="63">
        <v>1.682578990703171</v>
      </c>
      <c r="P149" s="62">
        <v>100.9167600614783</v>
      </c>
    </row>
    <row r="150" spans="14:16" x14ac:dyDescent="0.2">
      <c r="N150">
        <f t="shared" si="14"/>
        <v>149</v>
      </c>
      <c r="O150" s="63">
        <v>1.4026725081194862</v>
      </c>
      <c r="P150" s="62">
        <v>59.970332316485781</v>
      </c>
    </row>
    <row r="151" spans="14:16" x14ac:dyDescent="0.2">
      <c r="N151">
        <f t="shared" si="14"/>
        <v>150</v>
      </c>
      <c r="O151" s="63">
        <v>1.9312008195381514</v>
      </c>
      <c r="P151" s="62">
        <v>136.73357151163438</v>
      </c>
    </row>
    <row r="152" spans="14:16" x14ac:dyDescent="0.2">
      <c r="N152">
        <f t="shared" si="14"/>
        <v>151</v>
      </c>
      <c r="O152" s="63">
        <v>1.7383106732884783</v>
      </c>
      <c r="P152" s="62">
        <v>107.8041106450209</v>
      </c>
    </row>
    <row r="153" spans="14:16" x14ac:dyDescent="0.2">
      <c r="N153">
        <f t="shared" si="14"/>
        <v>152</v>
      </c>
      <c r="O153" s="63">
        <v>1.4671645193901786</v>
      </c>
      <c r="P153" s="62">
        <v>67.788568843933859</v>
      </c>
    </row>
    <row r="154" spans="14:16" x14ac:dyDescent="0.2">
      <c r="N154">
        <f t="shared" si="14"/>
        <v>153</v>
      </c>
      <c r="O154" s="63">
        <v>1.4568551745662051</v>
      </c>
      <c r="P154" s="62">
        <v>66.029419128366897</v>
      </c>
    </row>
    <row r="155" spans="14:16" x14ac:dyDescent="0.2">
      <c r="N155">
        <f t="shared" si="14"/>
        <v>154</v>
      </c>
      <c r="O155" s="63">
        <v>1.5269658186971264</v>
      </c>
      <c r="P155" s="62">
        <v>76.392698687540303</v>
      </c>
    </row>
    <row r="156" spans="14:16" x14ac:dyDescent="0.2">
      <c r="N156">
        <f t="shared" si="14"/>
        <v>155</v>
      </c>
      <c r="O156" s="63">
        <v>1.7989677089269622</v>
      </c>
      <c r="P156" s="62">
        <v>118.71290177908082</v>
      </c>
    </row>
    <row r="157" spans="14:16" x14ac:dyDescent="0.2">
      <c r="N157">
        <f t="shared" si="14"/>
        <v>156</v>
      </c>
      <c r="O157" s="63">
        <v>2.0545335872031529</v>
      </c>
      <c r="P157" s="62">
        <v>152.16695598390123</v>
      </c>
    </row>
    <row r="158" spans="14:16" x14ac:dyDescent="0.2">
      <c r="N158">
        <f t="shared" si="14"/>
        <v>157</v>
      </c>
      <c r="O158" s="63">
        <v>1.6196007776741768</v>
      </c>
      <c r="P158" s="62">
        <v>92.9372769841288</v>
      </c>
    </row>
    <row r="159" spans="14:16" x14ac:dyDescent="0.2">
      <c r="N159">
        <f t="shared" si="14"/>
        <v>158</v>
      </c>
      <c r="O159" s="63">
        <v>1.2009865915493123</v>
      </c>
      <c r="P159" s="62">
        <v>29.765326730003494</v>
      </c>
    </row>
    <row r="160" spans="14:16" x14ac:dyDescent="0.2">
      <c r="N160">
        <f t="shared" si="14"/>
        <v>159</v>
      </c>
      <c r="O160" s="63">
        <v>2.2283742463878191</v>
      </c>
      <c r="P160" s="62">
        <v>180.89006724871572</v>
      </c>
    </row>
    <row r="161" spans="14:16" x14ac:dyDescent="0.2">
      <c r="N161">
        <f t="shared" si="14"/>
        <v>160</v>
      </c>
      <c r="O161" s="63">
        <v>2.0839360589913811</v>
      </c>
      <c r="P161" s="62">
        <v>159.05614643310381</v>
      </c>
    </row>
    <row r="162" spans="14:16" x14ac:dyDescent="0.2">
      <c r="N162">
        <f t="shared" si="14"/>
        <v>161</v>
      </c>
      <c r="O162" s="63">
        <v>1.588062605194196</v>
      </c>
      <c r="P162" s="62">
        <v>85.945116099887855</v>
      </c>
    </row>
    <row r="163" spans="14:16" x14ac:dyDescent="0.2">
      <c r="N163">
        <f t="shared" si="14"/>
        <v>162</v>
      </c>
      <c r="O163" s="63">
        <v>1.5653585987015295</v>
      </c>
      <c r="P163" s="62">
        <v>82.636689543863724</v>
      </c>
    </row>
    <row r="164" spans="14:16" x14ac:dyDescent="0.2">
      <c r="N164">
        <f t="shared" si="14"/>
        <v>163</v>
      </c>
      <c r="O164" s="63">
        <v>1.3436374914083489</v>
      </c>
      <c r="P164" s="62">
        <v>50.750007612781218</v>
      </c>
    </row>
    <row r="165" spans="14:16" x14ac:dyDescent="0.2">
      <c r="N165">
        <f t="shared" si="14"/>
        <v>164</v>
      </c>
      <c r="O165" s="63">
        <v>2.1752301461026193</v>
      </c>
      <c r="P165" s="62">
        <v>174.99691914924747</v>
      </c>
    </row>
    <row r="166" spans="14:16" x14ac:dyDescent="0.2">
      <c r="N166">
        <f t="shared" si="14"/>
        <v>165</v>
      </c>
      <c r="O166" s="63">
        <v>1.7645426338689574</v>
      </c>
      <c r="P166" s="62">
        <v>112.36600582517636</v>
      </c>
    </row>
    <row r="167" spans="14:16" x14ac:dyDescent="0.2">
      <c r="N167">
        <f t="shared" si="14"/>
        <v>166</v>
      </c>
      <c r="O167" s="63">
        <v>1.889898559779662</v>
      </c>
      <c r="P167" s="62">
        <v>129.97656880047049</v>
      </c>
    </row>
    <row r="168" spans="14:16" x14ac:dyDescent="0.2">
      <c r="N168">
        <f t="shared" si="14"/>
        <v>167</v>
      </c>
      <c r="O168" s="63">
        <v>1.8024891672117955</v>
      </c>
      <c r="P168" s="62">
        <v>120.68862858669803</v>
      </c>
    </row>
    <row r="169" spans="14:16" x14ac:dyDescent="0.2">
      <c r="N169">
        <f t="shared" si="14"/>
        <v>168</v>
      </c>
      <c r="O169" s="63">
        <v>2.2061435938342635</v>
      </c>
      <c r="P169" s="62">
        <v>173.87395239697608</v>
      </c>
    </row>
    <row r="170" spans="14:16" x14ac:dyDescent="0.2">
      <c r="N170">
        <f t="shared" si="14"/>
        <v>169</v>
      </c>
      <c r="O170" s="63">
        <v>1.6257047539621001</v>
      </c>
      <c r="P170" s="62">
        <v>93.48899536933385</v>
      </c>
    </row>
    <row r="171" spans="14:16" x14ac:dyDescent="0.2">
      <c r="N171">
        <f t="shared" si="14"/>
        <v>170</v>
      </c>
      <c r="O171" s="63">
        <v>1.1863430571756639</v>
      </c>
      <c r="P171" s="62">
        <v>27.251285240638907</v>
      </c>
    </row>
    <row r="172" spans="14:16" x14ac:dyDescent="0.2">
      <c r="N172">
        <f t="shared" si="14"/>
        <v>171</v>
      </c>
      <c r="O172" s="63">
        <v>1.6933136656361127</v>
      </c>
      <c r="P172" s="62">
        <v>103.38959546898352</v>
      </c>
    </row>
    <row r="173" spans="14:16" x14ac:dyDescent="0.2">
      <c r="N173">
        <f t="shared" si="14"/>
        <v>172</v>
      </c>
      <c r="O173" s="63">
        <v>1.1630646230455539</v>
      </c>
      <c r="P173" s="62">
        <v>24.09565543047762</v>
      </c>
    </row>
    <row r="174" spans="14:16" x14ac:dyDescent="0.2">
      <c r="N174">
        <f t="shared" si="14"/>
        <v>173</v>
      </c>
      <c r="O174" s="63">
        <v>1.6919819290550948</v>
      </c>
      <c r="P174" s="62">
        <v>100.64194927304365</v>
      </c>
    </row>
    <row r="175" spans="14:16" x14ac:dyDescent="0.2">
      <c r="N175">
        <f t="shared" si="14"/>
        <v>174</v>
      </c>
      <c r="O175" s="63">
        <v>1.4314375696136536</v>
      </c>
      <c r="P175" s="62">
        <v>63.057505487987868</v>
      </c>
    </row>
    <row r="176" spans="14:16" x14ac:dyDescent="0.2">
      <c r="N176">
        <f t="shared" si="14"/>
        <v>175</v>
      </c>
      <c r="O176" s="63">
        <v>1.7034099786473995</v>
      </c>
      <c r="P176" s="62">
        <v>104.46993994469895</v>
      </c>
    </row>
    <row r="177" spans="14:16" x14ac:dyDescent="0.2">
      <c r="N177">
        <f t="shared" si="14"/>
        <v>176</v>
      </c>
      <c r="O177" s="63">
        <v>1.2300853071978872</v>
      </c>
      <c r="P177" s="62">
        <v>34.138440613573721</v>
      </c>
    </row>
    <row r="178" spans="14:16" x14ac:dyDescent="0.2">
      <c r="N178">
        <f t="shared" si="14"/>
        <v>177</v>
      </c>
      <c r="O178" s="63">
        <v>2.1298931691369276</v>
      </c>
      <c r="P178" s="62">
        <v>163.87312667560164</v>
      </c>
    </row>
    <row r="179" spans="14:16" x14ac:dyDescent="0.2">
      <c r="N179">
        <f t="shared" si="14"/>
        <v>178</v>
      </c>
      <c r="O179" s="63">
        <v>2.8135671118883181</v>
      </c>
      <c r="P179" s="62">
        <v>256.2951546123661</v>
      </c>
    </row>
    <row r="180" spans="14:16" x14ac:dyDescent="0.2">
      <c r="N180">
        <f t="shared" si="14"/>
        <v>179</v>
      </c>
      <c r="O180" s="63">
        <v>2.2738118767631117</v>
      </c>
      <c r="P180" s="62">
        <v>188.6146175471477</v>
      </c>
    </row>
    <row r="181" spans="14:16" x14ac:dyDescent="0.2">
      <c r="N181">
        <f t="shared" si="14"/>
        <v>180</v>
      </c>
      <c r="O181" s="63">
        <v>2.4625130615596476</v>
      </c>
      <c r="P181" s="62">
        <v>218.89104764519928</v>
      </c>
    </row>
    <row r="182" spans="14:16" x14ac:dyDescent="0.2">
      <c r="N182">
        <f t="shared" si="14"/>
        <v>181</v>
      </c>
      <c r="O182" s="63">
        <v>1.282071905632659</v>
      </c>
      <c r="P182" s="62">
        <v>41.685013476795973</v>
      </c>
    </row>
    <row r="183" spans="14:16" x14ac:dyDescent="0.2">
      <c r="N183">
        <f t="shared" si="14"/>
        <v>182</v>
      </c>
      <c r="O183" s="63">
        <v>1.0911426574155358</v>
      </c>
      <c r="P183" s="62">
        <v>13.458274686006433</v>
      </c>
    </row>
    <row r="184" spans="14:16" x14ac:dyDescent="0.2">
      <c r="N184">
        <f t="shared" si="14"/>
        <v>183</v>
      </c>
      <c r="O184" s="63">
        <v>1.2704956803061376</v>
      </c>
      <c r="P184" s="62">
        <v>40.213007171541136</v>
      </c>
    </row>
    <row r="185" spans="14:16" x14ac:dyDescent="0.2">
      <c r="N185">
        <f t="shared" si="14"/>
        <v>184</v>
      </c>
      <c r="O185" s="63">
        <v>1.1745637023214233</v>
      </c>
      <c r="P185" s="62">
        <v>25.173000017434504</v>
      </c>
    </row>
    <row r="186" spans="14:16" x14ac:dyDescent="0.2">
      <c r="N186">
        <f t="shared" si="14"/>
        <v>185</v>
      </c>
      <c r="O186" s="63">
        <v>2.0124567673269511</v>
      </c>
      <c r="P186" s="62">
        <v>150.66913719391755</v>
      </c>
    </row>
    <row r="187" spans="14:16" x14ac:dyDescent="0.2">
      <c r="N187">
        <f t="shared" si="14"/>
        <v>186</v>
      </c>
      <c r="O187" s="63">
        <v>1.4547086602675241</v>
      </c>
      <c r="P187" s="62">
        <v>66.290971703641446</v>
      </c>
    </row>
    <row r="188" spans="14:16" x14ac:dyDescent="0.2">
      <c r="N188">
        <f t="shared" si="14"/>
        <v>187</v>
      </c>
      <c r="O188" s="63">
        <v>1.5174154243201354</v>
      </c>
      <c r="P188" s="62">
        <v>77.016439549722008</v>
      </c>
    </row>
    <row r="189" spans="14:16" x14ac:dyDescent="0.2">
      <c r="N189">
        <f t="shared" si="14"/>
        <v>188</v>
      </c>
      <c r="O189" s="63">
        <v>1.8327789901177327</v>
      </c>
      <c r="P189" s="62">
        <v>122.42040434052629</v>
      </c>
    </row>
    <row r="190" spans="14:16" x14ac:dyDescent="0.2">
      <c r="N190">
        <f t="shared" si="14"/>
        <v>189</v>
      </c>
      <c r="O190" s="63">
        <v>1.8953361545792586</v>
      </c>
      <c r="P190" s="62">
        <v>132.09539863634609</v>
      </c>
    </row>
    <row r="191" spans="14:16" x14ac:dyDescent="0.2">
      <c r="N191">
        <f t="shared" si="14"/>
        <v>190</v>
      </c>
      <c r="O191" s="63">
        <v>2.4089126012276836</v>
      </c>
      <c r="P191" s="62">
        <v>209.86147286304498</v>
      </c>
    </row>
    <row r="192" spans="14:16" x14ac:dyDescent="0.2">
      <c r="N192">
        <f t="shared" si="14"/>
        <v>191</v>
      </c>
      <c r="O192" s="63">
        <v>1.8737897733675986</v>
      </c>
      <c r="P192" s="62">
        <v>128.73498582142162</v>
      </c>
    </row>
    <row r="193" spans="14:16" x14ac:dyDescent="0.2">
      <c r="N193">
        <f t="shared" si="14"/>
        <v>192</v>
      </c>
      <c r="O193" s="63">
        <v>2.3269297408788399</v>
      </c>
      <c r="P193" s="62">
        <v>196.5123770959238</v>
      </c>
    </row>
    <row r="194" spans="14:16" x14ac:dyDescent="0.2">
      <c r="N194">
        <f t="shared" ref="N194:N257" si="15">ROW(N194)-1</f>
        <v>193</v>
      </c>
      <c r="O194" s="63">
        <v>1.7819676278813525</v>
      </c>
      <c r="P194" s="62">
        <v>115.13641755385859</v>
      </c>
    </row>
    <row r="195" spans="14:16" x14ac:dyDescent="0.2">
      <c r="N195">
        <f t="shared" si="15"/>
        <v>194</v>
      </c>
      <c r="O195" s="63">
        <v>1.4577674724209158</v>
      </c>
      <c r="P195" s="62">
        <v>68.157759810134451</v>
      </c>
    </row>
    <row r="196" spans="14:16" x14ac:dyDescent="0.2">
      <c r="N196">
        <f t="shared" si="15"/>
        <v>195</v>
      </c>
      <c r="O196" s="63">
        <v>1.3659378419449111</v>
      </c>
      <c r="P196" s="62">
        <v>53.186131924142899</v>
      </c>
    </row>
    <row r="197" spans="14:16" x14ac:dyDescent="0.2">
      <c r="N197">
        <f t="shared" si="15"/>
        <v>196</v>
      </c>
      <c r="O197" s="63">
        <v>1.4732209831248608</v>
      </c>
      <c r="P197" s="62">
        <v>69.312196872938244</v>
      </c>
    </row>
    <row r="198" spans="14:16" x14ac:dyDescent="0.2">
      <c r="N198">
        <f t="shared" si="15"/>
        <v>197</v>
      </c>
      <c r="O198" s="63">
        <v>1.9744495084149707</v>
      </c>
      <c r="P198" s="62">
        <v>142.29392555830304</v>
      </c>
    </row>
    <row r="199" spans="14:16" x14ac:dyDescent="0.2">
      <c r="N199">
        <f t="shared" si="15"/>
        <v>198</v>
      </c>
      <c r="O199" s="63">
        <v>2.5989681747587925</v>
      </c>
      <c r="P199" s="62">
        <v>230.02223242300195</v>
      </c>
    </row>
    <row r="200" spans="14:16" x14ac:dyDescent="0.2">
      <c r="N200">
        <f t="shared" si="15"/>
        <v>199</v>
      </c>
      <c r="O200" s="63">
        <v>1.8427939854547484</v>
      </c>
      <c r="P200" s="62">
        <v>123.45237353694128</v>
      </c>
    </row>
    <row r="201" spans="14:16" x14ac:dyDescent="0.2">
      <c r="N201">
        <f t="shared" si="15"/>
        <v>200</v>
      </c>
      <c r="O201" s="63">
        <v>1.7030095505848832</v>
      </c>
      <c r="P201" s="62">
        <v>103.77395049467805</v>
      </c>
    </row>
    <row r="202" spans="14:16" x14ac:dyDescent="0.2">
      <c r="N202">
        <f t="shared" si="15"/>
        <v>201</v>
      </c>
      <c r="O202" s="63">
        <v>2.0692241093738128</v>
      </c>
      <c r="P202" s="62">
        <v>158.08358425583032</v>
      </c>
    </row>
    <row r="203" spans="14:16" x14ac:dyDescent="0.2">
      <c r="N203">
        <f t="shared" si="15"/>
        <v>202</v>
      </c>
      <c r="O203" s="63">
        <v>1.1413761808622624</v>
      </c>
      <c r="P203" s="62">
        <v>20.665366521252537</v>
      </c>
    </row>
    <row r="204" spans="14:16" x14ac:dyDescent="0.2">
      <c r="N204">
        <f t="shared" si="15"/>
        <v>203</v>
      </c>
      <c r="O204" s="63">
        <v>2.0183140781526467</v>
      </c>
      <c r="P204" s="62">
        <v>149.79503815884115</v>
      </c>
    </row>
    <row r="205" spans="14:16" x14ac:dyDescent="0.2">
      <c r="N205">
        <f t="shared" si="15"/>
        <v>204</v>
      </c>
      <c r="O205" s="63">
        <v>1.382403208424847</v>
      </c>
      <c r="P205" s="62">
        <v>55.779287789057378</v>
      </c>
    </row>
    <row r="206" spans="14:16" x14ac:dyDescent="0.2">
      <c r="N206">
        <f t="shared" si="15"/>
        <v>205</v>
      </c>
      <c r="O206" s="63">
        <v>1.3998203190072798</v>
      </c>
      <c r="P206" s="62">
        <v>59.750268716641784</v>
      </c>
    </row>
    <row r="207" spans="14:16" x14ac:dyDescent="0.2">
      <c r="N207">
        <f t="shared" si="15"/>
        <v>206</v>
      </c>
      <c r="O207" s="63">
        <v>1.7505891597847523</v>
      </c>
      <c r="P207" s="62">
        <v>110.15823250534658</v>
      </c>
    </row>
    <row r="208" spans="14:16" x14ac:dyDescent="0.2">
      <c r="N208">
        <f t="shared" si="15"/>
        <v>207</v>
      </c>
      <c r="O208" s="63">
        <v>1.2698461160689984</v>
      </c>
      <c r="P208" s="62">
        <v>40.376127249526576</v>
      </c>
    </row>
    <row r="209" spans="14:16" x14ac:dyDescent="0.2">
      <c r="N209">
        <f t="shared" si="15"/>
        <v>208</v>
      </c>
      <c r="O209" s="63">
        <v>1.3435780355347984</v>
      </c>
      <c r="P209" s="62">
        <v>50.961144132156392</v>
      </c>
    </row>
    <row r="210" spans="14:16" x14ac:dyDescent="0.2">
      <c r="N210">
        <f t="shared" si="15"/>
        <v>209</v>
      </c>
      <c r="O210" s="63">
        <v>1.6528825676979542</v>
      </c>
      <c r="P210" s="62">
        <v>98.557701946077742</v>
      </c>
    </row>
    <row r="211" spans="14:16" x14ac:dyDescent="0.2">
      <c r="N211">
        <f t="shared" si="15"/>
        <v>210</v>
      </c>
      <c r="O211" s="63">
        <v>1.2516609816098667</v>
      </c>
      <c r="P211" s="62">
        <v>37.082553860437855</v>
      </c>
    </row>
    <row r="212" spans="14:16" x14ac:dyDescent="0.2">
      <c r="N212">
        <f t="shared" si="15"/>
        <v>211</v>
      </c>
      <c r="O212" s="63">
        <v>1.3899390343243105</v>
      </c>
      <c r="P212" s="62">
        <v>57.711168084456403</v>
      </c>
    </row>
    <row r="213" spans="14:16" x14ac:dyDescent="0.2">
      <c r="N213">
        <f t="shared" si="15"/>
        <v>212</v>
      </c>
      <c r="O213" s="63">
        <v>2.2049304317369409</v>
      </c>
      <c r="P213" s="62">
        <v>170.94560869915551</v>
      </c>
    </row>
    <row r="214" spans="14:16" x14ac:dyDescent="0.2">
      <c r="N214">
        <f t="shared" si="15"/>
        <v>213</v>
      </c>
      <c r="O214" s="63">
        <v>1.1783589173607594</v>
      </c>
      <c r="P214" s="62">
        <v>26.801770337055729</v>
      </c>
    </row>
    <row r="215" spans="14:16" x14ac:dyDescent="0.2">
      <c r="N215">
        <f t="shared" si="15"/>
        <v>214</v>
      </c>
      <c r="O215" s="63">
        <v>1.089309168076114</v>
      </c>
      <c r="P215" s="62">
        <v>13.145814259160858</v>
      </c>
    </row>
    <row r="216" spans="14:16" x14ac:dyDescent="0.2">
      <c r="N216">
        <f t="shared" si="15"/>
        <v>215</v>
      </c>
      <c r="O216" s="63">
        <v>2.0289727607079859</v>
      </c>
      <c r="P216" s="62">
        <v>153.8753543213374</v>
      </c>
    </row>
    <row r="217" spans="14:16" x14ac:dyDescent="0.2">
      <c r="N217">
        <f t="shared" si="15"/>
        <v>216</v>
      </c>
      <c r="O217" s="63">
        <v>1.4460037559927301</v>
      </c>
      <c r="P217" s="62">
        <v>64.478608762406566</v>
      </c>
    </row>
    <row r="218" spans="14:16" x14ac:dyDescent="0.2">
      <c r="N218">
        <f t="shared" si="15"/>
        <v>217</v>
      </c>
      <c r="O218" s="63">
        <v>1.7790094775915097</v>
      </c>
      <c r="P218" s="62">
        <v>112.7735339592821</v>
      </c>
    </row>
    <row r="219" spans="14:16" x14ac:dyDescent="0.2">
      <c r="N219">
        <f t="shared" si="15"/>
        <v>218</v>
      </c>
      <c r="O219" s="63">
        <v>1.38393024898783</v>
      </c>
      <c r="P219" s="62">
        <v>57.341538845712137</v>
      </c>
    </row>
    <row r="220" spans="14:16" x14ac:dyDescent="0.2">
      <c r="N220">
        <f t="shared" si="15"/>
        <v>219</v>
      </c>
      <c r="O220" s="63">
        <v>1.4252785867961761</v>
      </c>
      <c r="P220" s="62">
        <v>62.357601961480441</v>
      </c>
    </row>
    <row r="221" spans="14:16" x14ac:dyDescent="0.2">
      <c r="N221">
        <f t="shared" si="15"/>
        <v>220</v>
      </c>
      <c r="O221" s="63">
        <v>2.0991990120178601</v>
      </c>
      <c r="P221" s="62">
        <v>162.69802114576945</v>
      </c>
    </row>
    <row r="222" spans="14:16" x14ac:dyDescent="0.2">
      <c r="N222">
        <f t="shared" si="15"/>
        <v>221</v>
      </c>
      <c r="O222" s="63">
        <v>1.6873324252978412</v>
      </c>
      <c r="P222" s="62">
        <v>100.39728569224746</v>
      </c>
    </row>
    <row r="223" spans="14:16" x14ac:dyDescent="0.2">
      <c r="N223">
        <f t="shared" si="15"/>
        <v>222</v>
      </c>
      <c r="O223" s="63">
        <v>1.5799114071560336</v>
      </c>
      <c r="P223" s="62">
        <v>87.132793122167357</v>
      </c>
    </row>
    <row r="224" spans="14:16" x14ac:dyDescent="0.2">
      <c r="N224">
        <f t="shared" si="15"/>
        <v>223</v>
      </c>
      <c r="O224" s="63">
        <v>1.6615190830040145</v>
      </c>
      <c r="P224" s="62">
        <v>99.051052758175075</v>
      </c>
    </row>
    <row r="225" spans="14:16" x14ac:dyDescent="0.2">
      <c r="N225">
        <f t="shared" si="15"/>
        <v>224</v>
      </c>
      <c r="O225" s="63">
        <v>1.5777028676964657</v>
      </c>
      <c r="P225" s="62">
        <v>84.588178669004748</v>
      </c>
    </row>
    <row r="226" spans="14:16" x14ac:dyDescent="0.2">
      <c r="N226">
        <f t="shared" si="15"/>
        <v>225</v>
      </c>
      <c r="O226" s="63">
        <v>1.5183225668059686</v>
      </c>
      <c r="P226" s="62">
        <v>77.418158266867209</v>
      </c>
    </row>
    <row r="227" spans="14:16" x14ac:dyDescent="0.2">
      <c r="N227">
        <f t="shared" si="15"/>
        <v>226</v>
      </c>
      <c r="O227" s="63">
        <v>1.8356405689498705</v>
      </c>
      <c r="P227" s="62">
        <v>121.33725766039294</v>
      </c>
    </row>
    <row r="228" spans="14:16" x14ac:dyDescent="0.2">
      <c r="N228">
        <f t="shared" si="15"/>
        <v>227</v>
      </c>
      <c r="O228" s="63">
        <v>1.3089717822795359</v>
      </c>
      <c r="P228" s="62">
        <v>44.706442235635933</v>
      </c>
    </row>
    <row r="229" spans="14:16" x14ac:dyDescent="0.2">
      <c r="N229">
        <f t="shared" si="15"/>
        <v>228</v>
      </c>
      <c r="O229" s="63">
        <v>2.2173942357012817</v>
      </c>
      <c r="P229" s="62">
        <v>178.14148739149667</v>
      </c>
    </row>
    <row r="230" spans="14:16" x14ac:dyDescent="0.2">
      <c r="N230">
        <f t="shared" si="15"/>
        <v>229</v>
      </c>
      <c r="O230" s="63">
        <v>1.5917937929074091</v>
      </c>
      <c r="P230" s="62">
        <v>86.748915658546935</v>
      </c>
    </row>
    <row r="231" spans="14:16" x14ac:dyDescent="0.2">
      <c r="N231">
        <f t="shared" si="15"/>
        <v>230</v>
      </c>
      <c r="O231" s="63">
        <v>1.6224515090491065</v>
      </c>
      <c r="P231" s="62">
        <v>92.302832877448424</v>
      </c>
    </row>
    <row r="232" spans="14:16" x14ac:dyDescent="0.2">
      <c r="N232">
        <f t="shared" si="15"/>
        <v>231</v>
      </c>
      <c r="O232" s="63">
        <v>1.9766432965053282</v>
      </c>
      <c r="P232" s="62">
        <v>143.18745043546903</v>
      </c>
    </row>
    <row r="233" spans="14:16" x14ac:dyDescent="0.2">
      <c r="N233">
        <f t="shared" si="15"/>
        <v>232</v>
      </c>
      <c r="O233" s="63">
        <v>1.6899868510724851</v>
      </c>
      <c r="P233" s="62">
        <v>99.93099523642374</v>
      </c>
    </row>
    <row r="234" spans="14:16" x14ac:dyDescent="0.2">
      <c r="N234">
        <f t="shared" si="15"/>
        <v>233</v>
      </c>
      <c r="O234" s="63">
        <v>1.7164570073792424</v>
      </c>
      <c r="P234" s="62">
        <v>104.67264689658865</v>
      </c>
    </row>
    <row r="235" spans="14:16" x14ac:dyDescent="0.2">
      <c r="N235">
        <f t="shared" si="15"/>
        <v>234</v>
      </c>
      <c r="O235" s="63">
        <v>1.6570286139744328</v>
      </c>
      <c r="P235" s="62">
        <v>96.407457365189686</v>
      </c>
    </row>
    <row r="236" spans="14:16" x14ac:dyDescent="0.2">
      <c r="N236">
        <f t="shared" si="15"/>
        <v>235</v>
      </c>
      <c r="O236" s="63">
        <v>1.7871427030056308</v>
      </c>
      <c r="P236" s="62">
        <v>112.84642355721732</v>
      </c>
    </row>
    <row r="237" spans="14:16" x14ac:dyDescent="0.2">
      <c r="N237">
        <f t="shared" si="15"/>
        <v>236</v>
      </c>
      <c r="O237" s="63">
        <v>2.1166951542179007</v>
      </c>
      <c r="P237" s="62">
        <v>161.46104037646782</v>
      </c>
    </row>
    <row r="238" spans="14:16" x14ac:dyDescent="0.2">
      <c r="N238">
        <f t="shared" si="15"/>
        <v>237</v>
      </c>
      <c r="O238" s="63">
        <v>1.6450578349448446</v>
      </c>
      <c r="P238" s="62">
        <v>95.140509122992682</v>
      </c>
    </row>
    <row r="239" spans="14:16" x14ac:dyDescent="0.2">
      <c r="N239">
        <f t="shared" si="15"/>
        <v>238</v>
      </c>
      <c r="O239" s="63">
        <v>1.5422294131954186</v>
      </c>
      <c r="P239" s="62">
        <v>79.825967778356102</v>
      </c>
    </row>
    <row r="240" spans="14:16" x14ac:dyDescent="0.2">
      <c r="N240">
        <f t="shared" si="15"/>
        <v>239</v>
      </c>
      <c r="O240" s="63">
        <v>1.3392075091781057</v>
      </c>
      <c r="P240" s="62">
        <v>49.608256476664309</v>
      </c>
    </row>
    <row r="241" spans="14:16" x14ac:dyDescent="0.2">
      <c r="N241">
        <f t="shared" si="15"/>
        <v>240</v>
      </c>
      <c r="O241" s="63">
        <v>1.8678230644450218</v>
      </c>
      <c r="P241" s="62">
        <v>127.05274119650633</v>
      </c>
    </row>
    <row r="242" spans="14:16" x14ac:dyDescent="0.2">
      <c r="N242">
        <f t="shared" si="15"/>
        <v>241</v>
      </c>
      <c r="O242" s="63">
        <v>1.5503559844433581</v>
      </c>
      <c r="P242" s="62">
        <v>79.624773422390547</v>
      </c>
    </row>
    <row r="243" spans="14:16" x14ac:dyDescent="0.2">
      <c r="N243">
        <f t="shared" si="15"/>
        <v>242</v>
      </c>
      <c r="O243" s="63">
        <v>1.853713351239459</v>
      </c>
      <c r="P243" s="62">
        <v>129.68405711763725</v>
      </c>
    </row>
    <row r="244" spans="14:16" x14ac:dyDescent="0.2">
      <c r="N244">
        <f t="shared" si="15"/>
        <v>243</v>
      </c>
      <c r="O244" s="63">
        <v>1.4869990769456447</v>
      </c>
      <c r="P244" s="62">
        <v>72.508360552336825</v>
      </c>
    </row>
    <row r="245" spans="14:16" x14ac:dyDescent="0.2">
      <c r="N245">
        <f t="shared" si="15"/>
        <v>244</v>
      </c>
      <c r="O245" s="63">
        <v>1.7224543784406425</v>
      </c>
      <c r="P245" s="62">
        <v>106.95904684019507</v>
      </c>
    </row>
    <row r="246" spans="14:16" x14ac:dyDescent="0.2">
      <c r="N246">
        <f t="shared" si="15"/>
        <v>245</v>
      </c>
      <c r="O246" s="63">
        <v>2.1644874572851363</v>
      </c>
      <c r="P246" s="62">
        <v>170.74731202626825</v>
      </c>
    </row>
    <row r="247" spans="14:16" x14ac:dyDescent="0.2">
      <c r="N247">
        <f t="shared" si="15"/>
        <v>246</v>
      </c>
      <c r="O247" s="63">
        <v>1.1828142403140403</v>
      </c>
      <c r="P247" s="62">
        <v>26.381064796219817</v>
      </c>
    </row>
    <row r="248" spans="14:16" x14ac:dyDescent="0.2">
      <c r="N248">
        <f t="shared" si="15"/>
        <v>247</v>
      </c>
      <c r="O248" s="63">
        <v>1.7250148127697043</v>
      </c>
      <c r="P248" s="62">
        <v>105.70829814259753</v>
      </c>
    </row>
    <row r="249" spans="14:16" x14ac:dyDescent="0.2">
      <c r="N249">
        <f t="shared" si="15"/>
        <v>248</v>
      </c>
      <c r="O249" s="63">
        <v>1.3192413700030166</v>
      </c>
      <c r="P249" s="62">
        <v>47.353315495261882</v>
      </c>
    </row>
    <row r="250" spans="14:16" x14ac:dyDescent="0.2">
      <c r="N250">
        <f t="shared" si="15"/>
        <v>249</v>
      </c>
      <c r="O250" s="63">
        <v>1.6758613057003726</v>
      </c>
      <c r="P250" s="62">
        <v>98.821179890646647</v>
      </c>
    </row>
    <row r="251" spans="14:16" x14ac:dyDescent="0.2">
      <c r="N251">
        <f t="shared" si="15"/>
        <v>250</v>
      </c>
      <c r="O251" s="63">
        <v>1.3849044617674047</v>
      </c>
      <c r="P251" s="62">
        <v>55.746622947858953</v>
      </c>
    </row>
    <row r="252" spans="14:16" x14ac:dyDescent="0.2">
      <c r="N252">
        <f t="shared" si="15"/>
        <v>251</v>
      </c>
      <c r="O252" s="63">
        <v>1.902147316334539</v>
      </c>
      <c r="P252" s="62">
        <v>132.90360582993279</v>
      </c>
    </row>
    <row r="253" spans="14:16" x14ac:dyDescent="0.2">
      <c r="N253">
        <f t="shared" si="15"/>
        <v>252</v>
      </c>
      <c r="O253" s="63">
        <v>1.7372479667186005</v>
      </c>
      <c r="P253" s="62">
        <v>109.46834146758039</v>
      </c>
    </row>
    <row r="254" spans="14:16" x14ac:dyDescent="0.2">
      <c r="N254">
        <f t="shared" si="15"/>
        <v>253</v>
      </c>
      <c r="O254" s="63">
        <v>1.7909574180391539</v>
      </c>
      <c r="P254" s="62">
        <v>116.65979917938179</v>
      </c>
    </row>
    <row r="255" spans="14:16" x14ac:dyDescent="0.2">
      <c r="N255">
        <f t="shared" si="15"/>
        <v>254</v>
      </c>
      <c r="O255" s="63">
        <v>1.7708319219450204</v>
      </c>
      <c r="P255" s="62">
        <v>110.75667683418104</v>
      </c>
    </row>
    <row r="256" spans="14:16" x14ac:dyDescent="0.2">
      <c r="N256">
        <f t="shared" si="15"/>
        <v>255</v>
      </c>
      <c r="O256" s="63">
        <v>1.3546952467600886</v>
      </c>
      <c r="P256" s="62">
        <v>51.324505290301602</v>
      </c>
    </row>
    <row r="257" spans="14:16" x14ac:dyDescent="0.2">
      <c r="N257">
        <f t="shared" si="15"/>
        <v>256</v>
      </c>
      <c r="O257" s="63">
        <v>1.7769990503764981</v>
      </c>
      <c r="P257" s="62">
        <v>114.62920146156389</v>
      </c>
    </row>
    <row r="258" spans="14:16" x14ac:dyDescent="0.2">
      <c r="N258">
        <f t="shared" ref="N258:N321" si="16">ROW(N258)-1</f>
        <v>257</v>
      </c>
      <c r="O258" s="63">
        <v>1.4580078599647281</v>
      </c>
      <c r="P258" s="62">
        <v>66.14397920838897</v>
      </c>
    </row>
    <row r="259" spans="14:16" x14ac:dyDescent="0.2">
      <c r="N259">
        <f t="shared" si="16"/>
        <v>258</v>
      </c>
      <c r="O259" s="63">
        <v>1.9771212357801968</v>
      </c>
      <c r="P259" s="62">
        <v>144.73862445653131</v>
      </c>
    </row>
    <row r="260" spans="14:16" x14ac:dyDescent="0.2">
      <c r="N260">
        <f t="shared" si="16"/>
        <v>259</v>
      </c>
      <c r="O260" s="63">
        <v>1.4858133120613004</v>
      </c>
      <c r="P260" s="62">
        <v>70.815171517116312</v>
      </c>
    </row>
    <row r="261" spans="14:16" x14ac:dyDescent="0.2">
      <c r="N261">
        <f t="shared" si="16"/>
        <v>260</v>
      </c>
      <c r="O261" s="63">
        <v>2.1952829113026251</v>
      </c>
      <c r="P261" s="62">
        <v>169.69468881646006</v>
      </c>
    </row>
    <row r="262" spans="14:16" x14ac:dyDescent="0.2">
      <c r="N262">
        <f t="shared" si="16"/>
        <v>261</v>
      </c>
      <c r="O262" s="63">
        <v>1.7786150673335592</v>
      </c>
      <c r="P262" s="62">
        <v>114.835247041847</v>
      </c>
    </row>
    <row r="263" spans="14:16" x14ac:dyDescent="0.2">
      <c r="N263">
        <f t="shared" si="16"/>
        <v>262</v>
      </c>
      <c r="O263" s="63">
        <v>2.1933708145362982</v>
      </c>
      <c r="P263" s="62">
        <v>171.63909833053685</v>
      </c>
    </row>
    <row r="264" spans="14:16" x14ac:dyDescent="0.2">
      <c r="N264">
        <f t="shared" si="16"/>
        <v>263</v>
      </c>
      <c r="O264" s="63">
        <v>1.7278502646376122</v>
      </c>
      <c r="P264" s="62">
        <v>106.31594639720473</v>
      </c>
    </row>
    <row r="265" spans="14:16" x14ac:dyDescent="0.2">
      <c r="N265">
        <f t="shared" si="16"/>
        <v>264</v>
      </c>
      <c r="O265" s="63">
        <v>2.0090755061544359</v>
      </c>
      <c r="P265" s="62">
        <v>149.32930654032242</v>
      </c>
    </row>
    <row r="266" spans="14:16" x14ac:dyDescent="0.2">
      <c r="N266">
        <f t="shared" si="16"/>
        <v>265</v>
      </c>
      <c r="O266" s="63">
        <v>2.198236208077204</v>
      </c>
      <c r="P266" s="62">
        <v>174.16556216183525</v>
      </c>
    </row>
    <row r="267" spans="14:16" x14ac:dyDescent="0.2">
      <c r="N267">
        <f t="shared" si="16"/>
        <v>266</v>
      </c>
      <c r="O267" s="63">
        <v>1.2821453826629361</v>
      </c>
      <c r="P267" s="62">
        <v>41.596650694114487</v>
      </c>
    </row>
    <row r="268" spans="14:16" x14ac:dyDescent="0.2">
      <c r="N268">
        <f t="shared" si="16"/>
        <v>267</v>
      </c>
      <c r="O268" s="63">
        <v>1.8141164190189958</v>
      </c>
      <c r="P268" s="62">
        <v>117.90103509822404</v>
      </c>
    </row>
    <row r="269" spans="14:16" x14ac:dyDescent="0.2">
      <c r="N269">
        <f t="shared" si="16"/>
        <v>268</v>
      </c>
      <c r="O269" s="63">
        <v>1.2146757814677549</v>
      </c>
      <c r="P269" s="62">
        <v>31.521529811535856</v>
      </c>
    </row>
    <row r="270" spans="14:16" x14ac:dyDescent="0.2">
      <c r="N270">
        <f t="shared" si="16"/>
        <v>269</v>
      </c>
      <c r="O270" s="63">
        <v>1.5042130756895948</v>
      </c>
      <c r="P270" s="62">
        <v>73.242297163773742</v>
      </c>
    </row>
    <row r="271" spans="14:16" x14ac:dyDescent="0.2">
      <c r="N271">
        <f t="shared" si="16"/>
        <v>270</v>
      </c>
      <c r="O271" s="63">
        <v>1.7450541277840592</v>
      </c>
      <c r="P271" s="62">
        <v>109.38452001761684</v>
      </c>
    </row>
    <row r="272" spans="14:16" x14ac:dyDescent="0.2">
      <c r="N272">
        <f t="shared" si="16"/>
        <v>271</v>
      </c>
      <c r="O272" s="63">
        <v>2.014295211922601</v>
      </c>
      <c r="P272" s="62">
        <v>151.55901462586363</v>
      </c>
    </row>
    <row r="273" spans="14:16" x14ac:dyDescent="0.2">
      <c r="N273">
        <f t="shared" si="16"/>
        <v>272</v>
      </c>
      <c r="O273" s="63">
        <v>1.6293420869384947</v>
      </c>
      <c r="P273" s="62">
        <v>92.628774545280777</v>
      </c>
    </row>
    <row r="274" spans="14:16" x14ac:dyDescent="0.2">
      <c r="N274">
        <f t="shared" si="16"/>
        <v>273</v>
      </c>
      <c r="O274" s="63">
        <v>1.9769303560785374</v>
      </c>
      <c r="P274" s="62">
        <v>141.99459982683641</v>
      </c>
    </row>
    <row r="275" spans="14:16" x14ac:dyDescent="0.2">
      <c r="N275">
        <f t="shared" si="16"/>
        <v>274</v>
      </c>
      <c r="O275" s="63">
        <v>1.270653201271045</v>
      </c>
      <c r="P275" s="62">
        <v>39.725135153019124</v>
      </c>
    </row>
    <row r="276" spans="14:16" x14ac:dyDescent="0.2">
      <c r="N276">
        <f t="shared" si="16"/>
        <v>275</v>
      </c>
      <c r="O276" s="63">
        <v>1.5461131932819954</v>
      </c>
      <c r="P276" s="62">
        <v>80.46780793328773</v>
      </c>
    </row>
    <row r="277" spans="14:16" x14ac:dyDescent="0.2">
      <c r="N277">
        <f t="shared" si="16"/>
        <v>276</v>
      </c>
      <c r="O277" s="63">
        <v>1.1269321979371136</v>
      </c>
      <c r="P277" s="62">
        <v>18.664835949571398</v>
      </c>
    </row>
    <row r="278" spans="14:16" x14ac:dyDescent="0.2">
      <c r="N278">
        <f t="shared" si="16"/>
        <v>277</v>
      </c>
      <c r="O278" s="63">
        <v>1.6768732596567979</v>
      </c>
      <c r="P278" s="62">
        <v>98.166045152195068</v>
      </c>
    </row>
    <row r="279" spans="14:16" x14ac:dyDescent="0.2">
      <c r="N279">
        <f t="shared" si="16"/>
        <v>278</v>
      </c>
      <c r="O279" s="63">
        <v>1.364475907580339</v>
      </c>
      <c r="P279" s="62">
        <v>53.211259055935159</v>
      </c>
    </row>
    <row r="280" spans="14:16" x14ac:dyDescent="0.2">
      <c r="N280">
        <f t="shared" si="16"/>
        <v>279</v>
      </c>
      <c r="O280" s="63">
        <v>1.7322929793544941</v>
      </c>
      <c r="P280" s="62">
        <v>108.79923512977754</v>
      </c>
    </row>
    <row r="281" spans="14:16" x14ac:dyDescent="0.2">
      <c r="N281">
        <f t="shared" si="16"/>
        <v>280</v>
      </c>
      <c r="O281" s="63">
        <v>1.6131767256779019</v>
      </c>
      <c r="P281" s="62">
        <v>89.569411222229803</v>
      </c>
    </row>
    <row r="282" spans="14:16" x14ac:dyDescent="0.2">
      <c r="N282">
        <f t="shared" si="16"/>
        <v>281</v>
      </c>
      <c r="O282" s="63">
        <v>2.0419504175622194</v>
      </c>
      <c r="P282" s="62">
        <v>154.743671047182</v>
      </c>
    </row>
    <row r="283" spans="14:16" x14ac:dyDescent="0.2">
      <c r="N283">
        <f t="shared" si="16"/>
        <v>282</v>
      </c>
      <c r="O283" s="63">
        <v>1.8057495590709247</v>
      </c>
      <c r="P283" s="62">
        <v>117.75750275373517</v>
      </c>
    </row>
    <row r="284" spans="14:16" x14ac:dyDescent="0.2">
      <c r="N284">
        <f t="shared" si="16"/>
        <v>283</v>
      </c>
      <c r="O284" s="63">
        <v>1.7415611793405217</v>
      </c>
      <c r="P284" s="62">
        <v>112.44849606428508</v>
      </c>
    </row>
    <row r="285" spans="14:16" x14ac:dyDescent="0.2">
      <c r="N285">
        <f t="shared" si="16"/>
        <v>284</v>
      </c>
      <c r="O285" s="63">
        <v>1.4405235574278279</v>
      </c>
      <c r="P285" s="62">
        <v>63.927045491014724</v>
      </c>
    </row>
    <row r="286" spans="14:16" x14ac:dyDescent="0.2">
      <c r="N286">
        <f t="shared" si="16"/>
        <v>285</v>
      </c>
      <c r="O286" s="63">
        <v>1.3641180037587204</v>
      </c>
      <c r="P286" s="62">
        <v>54.085081212929879</v>
      </c>
    </row>
    <row r="287" spans="14:16" x14ac:dyDescent="0.2">
      <c r="N287">
        <f t="shared" si="16"/>
        <v>286</v>
      </c>
      <c r="O287" s="63">
        <v>1.8751002220657618</v>
      </c>
      <c r="P287" s="62">
        <v>127.88946143900165</v>
      </c>
    </row>
    <row r="288" spans="14:16" x14ac:dyDescent="0.2">
      <c r="N288">
        <f t="shared" si="16"/>
        <v>287</v>
      </c>
      <c r="O288" s="63">
        <v>1.30789904430171</v>
      </c>
      <c r="P288" s="62">
        <v>44.40240526412623</v>
      </c>
    </row>
    <row r="289" spans="14:16" x14ac:dyDescent="0.2">
      <c r="N289">
        <f t="shared" si="16"/>
        <v>288</v>
      </c>
      <c r="O289" s="63">
        <v>2.2371729413190815</v>
      </c>
      <c r="P289" s="62">
        <v>178.26600824254552</v>
      </c>
    </row>
    <row r="290" spans="14:16" x14ac:dyDescent="0.2">
      <c r="N290">
        <f t="shared" si="16"/>
        <v>289</v>
      </c>
      <c r="O290" s="63">
        <v>1.5418358777452896</v>
      </c>
      <c r="P290" s="62">
        <v>79.942219141772028</v>
      </c>
    </row>
    <row r="291" spans="14:16" x14ac:dyDescent="0.2">
      <c r="N291">
        <f t="shared" si="16"/>
        <v>290</v>
      </c>
      <c r="O291" s="63">
        <v>2.0480215880528871</v>
      </c>
      <c r="P291" s="62">
        <v>152.71542235244132</v>
      </c>
    </row>
    <row r="292" spans="14:16" x14ac:dyDescent="0.2">
      <c r="N292">
        <f t="shared" si="16"/>
        <v>291</v>
      </c>
      <c r="O292" s="63">
        <v>1.6627480698623365</v>
      </c>
      <c r="P292" s="62">
        <v>97.770755235702978</v>
      </c>
    </row>
    <row r="293" spans="14:16" x14ac:dyDescent="0.2">
      <c r="N293">
        <f t="shared" si="16"/>
        <v>292</v>
      </c>
      <c r="O293" s="63">
        <v>2.0315240850737006</v>
      </c>
      <c r="P293" s="62">
        <v>150.51325021372537</v>
      </c>
    </row>
    <row r="294" spans="14:16" x14ac:dyDescent="0.2">
      <c r="N294">
        <f t="shared" si="16"/>
        <v>293</v>
      </c>
      <c r="O294" s="63">
        <v>2.3992699788189462</v>
      </c>
      <c r="P294" s="62">
        <v>207.1451241424611</v>
      </c>
    </row>
    <row r="295" spans="14:16" x14ac:dyDescent="0.2">
      <c r="N295">
        <f t="shared" si="16"/>
        <v>294</v>
      </c>
      <c r="O295" s="63">
        <v>2.4159290491190539</v>
      </c>
      <c r="P295" s="62">
        <v>205.33614985750518</v>
      </c>
    </row>
    <row r="296" spans="14:16" x14ac:dyDescent="0.2">
      <c r="N296">
        <f t="shared" si="16"/>
        <v>295</v>
      </c>
      <c r="O296" s="63">
        <v>1.6633531222363416</v>
      </c>
      <c r="P296" s="62">
        <v>97.143152704893851</v>
      </c>
    </row>
    <row r="297" spans="14:16" x14ac:dyDescent="0.2">
      <c r="N297">
        <f t="shared" si="16"/>
        <v>296</v>
      </c>
      <c r="O297" s="63">
        <v>2.2470085343023407</v>
      </c>
      <c r="P297" s="62">
        <v>184.41154574126378</v>
      </c>
    </row>
    <row r="298" spans="14:16" x14ac:dyDescent="0.2">
      <c r="N298">
        <f t="shared" si="16"/>
        <v>297</v>
      </c>
      <c r="O298" s="63">
        <v>1.5920238105085962</v>
      </c>
      <c r="P298" s="62">
        <v>87.042795282073996</v>
      </c>
    </row>
    <row r="299" spans="14:16" x14ac:dyDescent="0.2">
      <c r="N299">
        <f t="shared" si="16"/>
        <v>298</v>
      </c>
      <c r="O299" s="63">
        <v>2.356830968930689</v>
      </c>
      <c r="P299" s="62">
        <v>200.09864422327126</v>
      </c>
    </row>
    <row r="300" spans="14:16" x14ac:dyDescent="0.2">
      <c r="N300">
        <f t="shared" si="16"/>
        <v>299</v>
      </c>
      <c r="O300" s="63">
        <v>2.5787449300159033</v>
      </c>
      <c r="P300" s="62">
        <v>230.71076762651401</v>
      </c>
    </row>
    <row r="301" spans="14:16" x14ac:dyDescent="0.2">
      <c r="N301">
        <f t="shared" si="16"/>
        <v>300</v>
      </c>
      <c r="O301" s="63">
        <v>1.612931495154492</v>
      </c>
      <c r="P301" s="62">
        <v>89.320164452846342</v>
      </c>
    </row>
    <row r="302" spans="14:16" x14ac:dyDescent="0.2">
      <c r="N302">
        <f t="shared" si="16"/>
        <v>301</v>
      </c>
      <c r="O302" s="63">
        <v>1.7974434168420292</v>
      </c>
      <c r="P302" s="62">
        <v>115.98693259592105</v>
      </c>
    </row>
    <row r="303" spans="14:16" x14ac:dyDescent="0.2">
      <c r="N303">
        <f t="shared" si="16"/>
        <v>302</v>
      </c>
      <c r="O303" s="63">
        <v>1.8708340632054159</v>
      </c>
      <c r="P303" s="62">
        <v>131.66151489365248</v>
      </c>
    </row>
    <row r="304" spans="14:16" x14ac:dyDescent="0.2">
      <c r="N304">
        <f t="shared" si="16"/>
        <v>303</v>
      </c>
      <c r="O304" s="63">
        <v>1.3299680473183546</v>
      </c>
      <c r="P304" s="62">
        <v>47.994094254764974</v>
      </c>
    </row>
    <row r="305" spans="14:16" x14ac:dyDescent="0.2">
      <c r="N305">
        <f t="shared" si="16"/>
        <v>304</v>
      </c>
      <c r="O305" s="63">
        <v>2.2707307000490773</v>
      </c>
      <c r="P305" s="62">
        <v>186.37938987399545</v>
      </c>
    </row>
    <row r="306" spans="14:16" x14ac:dyDescent="0.2">
      <c r="N306">
        <f t="shared" si="16"/>
        <v>305</v>
      </c>
      <c r="O306" s="63">
        <v>1.7329978105833885</v>
      </c>
      <c r="P306" s="62">
        <v>109.22923029795226</v>
      </c>
    </row>
    <row r="307" spans="14:16" x14ac:dyDescent="0.2">
      <c r="N307">
        <f t="shared" si="16"/>
        <v>306</v>
      </c>
      <c r="O307" s="63">
        <v>2.0977243743261842</v>
      </c>
      <c r="P307" s="62">
        <v>164.20203218496511</v>
      </c>
    </row>
    <row r="308" spans="14:16" x14ac:dyDescent="0.2">
      <c r="N308">
        <f t="shared" si="16"/>
        <v>307</v>
      </c>
      <c r="O308" s="63">
        <v>1.8246009257338762</v>
      </c>
      <c r="P308" s="62">
        <v>122.1924775638596</v>
      </c>
    </row>
    <row r="309" spans="14:16" x14ac:dyDescent="0.2">
      <c r="N309">
        <f t="shared" si="16"/>
        <v>308</v>
      </c>
      <c r="O309" s="63">
        <v>2.0527886887246085</v>
      </c>
      <c r="P309" s="62">
        <v>161.38874391884542</v>
      </c>
    </row>
    <row r="310" spans="14:16" x14ac:dyDescent="0.2">
      <c r="N310">
        <f t="shared" si="16"/>
        <v>309</v>
      </c>
      <c r="O310" s="63">
        <v>1.3124414795424142</v>
      </c>
      <c r="P310" s="62">
        <v>45.905436679485348</v>
      </c>
    </row>
    <row r="311" spans="14:16" x14ac:dyDescent="0.2">
      <c r="N311">
        <f t="shared" si="16"/>
        <v>310</v>
      </c>
      <c r="O311" s="63">
        <v>1.1854851133509849</v>
      </c>
      <c r="P311" s="62">
        <v>26.925712502545082</v>
      </c>
    </row>
    <row r="312" spans="14:16" x14ac:dyDescent="0.2">
      <c r="N312">
        <f t="shared" si="16"/>
        <v>311</v>
      </c>
      <c r="O312" s="63">
        <v>1.9920795196308929</v>
      </c>
      <c r="P312" s="62">
        <v>145.73382686587939</v>
      </c>
    </row>
    <row r="313" spans="14:16" x14ac:dyDescent="0.2">
      <c r="N313">
        <f t="shared" si="16"/>
        <v>312</v>
      </c>
      <c r="O313" s="63">
        <v>1.5747602989648637</v>
      </c>
      <c r="P313" s="62">
        <v>84.167726572941035</v>
      </c>
    </row>
    <row r="314" spans="14:16" x14ac:dyDescent="0.2">
      <c r="N314">
        <f t="shared" si="16"/>
        <v>313</v>
      </c>
      <c r="O314" s="63">
        <v>1.9772923766397581</v>
      </c>
      <c r="P314" s="62">
        <v>143.51442817489436</v>
      </c>
    </row>
    <row r="315" spans="14:16" x14ac:dyDescent="0.2">
      <c r="N315">
        <f t="shared" si="16"/>
        <v>314</v>
      </c>
      <c r="O315" s="63">
        <v>1.9338523969924026</v>
      </c>
      <c r="P315" s="62">
        <v>135.36500064925454</v>
      </c>
    </row>
    <row r="316" spans="14:16" x14ac:dyDescent="0.2">
      <c r="N316">
        <f t="shared" si="16"/>
        <v>315</v>
      </c>
      <c r="O316" s="63">
        <v>1.2467711108851023</v>
      </c>
      <c r="P316" s="62">
        <v>36.552355851513767</v>
      </c>
    </row>
    <row r="317" spans="14:16" x14ac:dyDescent="0.2">
      <c r="N317">
        <f t="shared" si="16"/>
        <v>316</v>
      </c>
      <c r="O317" s="63">
        <v>2.6161504278271268</v>
      </c>
      <c r="P317" s="62">
        <v>240.62526751210473</v>
      </c>
    </row>
    <row r="318" spans="14:16" x14ac:dyDescent="0.2">
      <c r="N318">
        <f t="shared" si="16"/>
        <v>317</v>
      </c>
      <c r="O318" s="63">
        <v>1.8456946747683738</v>
      </c>
      <c r="P318" s="62">
        <v>124.97967434821891</v>
      </c>
    </row>
    <row r="319" spans="14:16" x14ac:dyDescent="0.2">
      <c r="N319">
        <f t="shared" si="16"/>
        <v>318</v>
      </c>
      <c r="O319" s="63">
        <v>1.50854519477884</v>
      </c>
      <c r="P319" s="62">
        <v>75.688756956932906</v>
      </c>
    </row>
    <row r="320" spans="14:16" x14ac:dyDescent="0.2">
      <c r="N320">
        <f t="shared" si="16"/>
        <v>319</v>
      </c>
      <c r="O320" s="63">
        <v>1.2549649744840463</v>
      </c>
      <c r="P320" s="62">
        <v>37.520889818440963</v>
      </c>
    </row>
    <row r="321" spans="14:16" x14ac:dyDescent="0.2">
      <c r="N321">
        <f t="shared" si="16"/>
        <v>320</v>
      </c>
      <c r="O321" s="63">
        <v>2.3186207008792166</v>
      </c>
      <c r="P321" s="62">
        <v>196.18142607918207</v>
      </c>
    </row>
    <row r="322" spans="14:16" x14ac:dyDescent="0.2">
      <c r="N322">
        <f t="shared" ref="N322:N385" si="17">ROW(N322)-1</f>
        <v>321</v>
      </c>
      <c r="O322" s="63">
        <v>1.7030719156545646</v>
      </c>
      <c r="P322" s="62">
        <v>103.45596890541307</v>
      </c>
    </row>
    <row r="323" spans="14:16" x14ac:dyDescent="0.2">
      <c r="N323">
        <f t="shared" si="17"/>
        <v>322</v>
      </c>
      <c r="O323" s="63">
        <v>1.6968903414665457</v>
      </c>
      <c r="P323" s="62">
        <v>102.89582450661996</v>
      </c>
    </row>
    <row r="324" spans="14:16" x14ac:dyDescent="0.2">
      <c r="N324">
        <f t="shared" si="17"/>
        <v>323</v>
      </c>
      <c r="O324" s="63">
        <v>1.7833732741301831</v>
      </c>
      <c r="P324" s="62">
        <v>118.22394365845366</v>
      </c>
    </row>
    <row r="325" spans="14:16" x14ac:dyDescent="0.2">
      <c r="N325">
        <f t="shared" si="17"/>
        <v>324</v>
      </c>
      <c r="O325" s="63">
        <v>1.4360877651913428</v>
      </c>
      <c r="P325" s="62">
        <v>63.300345928798009</v>
      </c>
    </row>
    <row r="326" spans="14:16" x14ac:dyDescent="0.2">
      <c r="N326">
        <f t="shared" si="17"/>
        <v>325</v>
      </c>
      <c r="O326" s="63">
        <v>1.5578769330501665</v>
      </c>
      <c r="P326" s="62">
        <v>80.289564709563308</v>
      </c>
    </row>
    <row r="327" spans="14:16" x14ac:dyDescent="0.2">
      <c r="N327">
        <f t="shared" si="17"/>
        <v>326</v>
      </c>
      <c r="O327" s="63">
        <v>2.0363500972275159</v>
      </c>
      <c r="P327" s="62">
        <v>155.17134253841289</v>
      </c>
    </row>
    <row r="328" spans="14:16" x14ac:dyDescent="0.2">
      <c r="N328">
        <f t="shared" si="17"/>
        <v>327</v>
      </c>
      <c r="O328" s="63">
        <v>1.9309385773590602</v>
      </c>
      <c r="P328" s="62">
        <v>138.24783089185979</v>
      </c>
    </row>
    <row r="329" spans="14:16" x14ac:dyDescent="0.2">
      <c r="N329">
        <f t="shared" si="17"/>
        <v>328</v>
      </c>
      <c r="O329" s="63">
        <v>1.5454697334338474</v>
      </c>
      <c r="P329" s="62">
        <v>79.505933552437057</v>
      </c>
    </row>
    <row r="330" spans="14:16" x14ac:dyDescent="0.2">
      <c r="N330">
        <f t="shared" si="17"/>
        <v>329</v>
      </c>
      <c r="O330" s="63">
        <v>1.6218350665954766</v>
      </c>
      <c r="P330" s="62">
        <v>90.887368216016199</v>
      </c>
    </row>
    <row r="331" spans="14:16" x14ac:dyDescent="0.2">
      <c r="N331">
        <f t="shared" si="17"/>
        <v>330</v>
      </c>
      <c r="O331" s="63">
        <v>1.9408775455756531</v>
      </c>
      <c r="P331" s="62">
        <v>136.62974110265262</v>
      </c>
    </row>
    <row r="332" spans="14:16" x14ac:dyDescent="0.2">
      <c r="N332">
        <f t="shared" si="17"/>
        <v>331</v>
      </c>
      <c r="O332" s="63">
        <v>1.74234256180932</v>
      </c>
      <c r="P332" s="62">
        <v>108.555645495145</v>
      </c>
    </row>
    <row r="333" spans="14:16" x14ac:dyDescent="0.2">
      <c r="N333">
        <f t="shared" si="17"/>
        <v>332</v>
      </c>
      <c r="O333" s="63">
        <v>1.5121923320690169</v>
      </c>
      <c r="P333" s="62">
        <v>75.413499095117686</v>
      </c>
    </row>
    <row r="334" spans="14:16" x14ac:dyDescent="0.2">
      <c r="N334">
        <f t="shared" si="17"/>
        <v>333</v>
      </c>
      <c r="O334" s="63">
        <v>1.9401297279032743</v>
      </c>
      <c r="P334" s="62">
        <v>137.05353335078502</v>
      </c>
    </row>
    <row r="335" spans="14:16" x14ac:dyDescent="0.2">
      <c r="N335">
        <f t="shared" si="17"/>
        <v>334</v>
      </c>
      <c r="O335" s="63">
        <v>1.8577197658349884</v>
      </c>
      <c r="P335" s="62">
        <v>125.44544912440776</v>
      </c>
    </row>
    <row r="336" spans="14:16" x14ac:dyDescent="0.2">
      <c r="N336">
        <f t="shared" si="17"/>
        <v>335</v>
      </c>
      <c r="O336" s="63">
        <v>2.3166034347316309</v>
      </c>
      <c r="P336" s="62">
        <v>195.47348621895733</v>
      </c>
    </row>
    <row r="337" spans="14:16" x14ac:dyDescent="0.2">
      <c r="N337">
        <f t="shared" si="17"/>
        <v>336</v>
      </c>
      <c r="O337" s="63">
        <v>1.3217645915135448</v>
      </c>
      <c r="P337" s="62">
        <v>48.216928046090885</v>
      </c>
    </row>
    <row r="338" spans="14:16" x14ac:dyDescent="0.2">
      <c r="N338">
        <f t="shared" si="17"/>
        <v>337</v>
      </c>
      <c r="O338" s="63">
        <v>1.4884883863856788</v>
      </c>
      <c r="P338" s="62">
        <v>71.693432014703035</v>
      </c>
    </row>
    <row r="339" spans="14:16" x14ac:dyDescent="0.2">
      <c r="N339">
        <f t="shared" si="17"/>
        <v>338</v>
      </c>
      <c r="O339" s="63">
        <v>1.0731034827267303</v>
      </c>
      <c r="P339" s="62">
        <v>10.92789551739645</v>
      </c>
    </row>
    <row r="340" spans="14:16" x14ac:dyDescent="0.2">
      <c r="N340">
        <f t="shared" si="17"/>
        <v>339</v>
      </c>
      <c r="O340" s="63">
        <v>2.7538774596659015</v>
      </c>
      <c r="P340" s="62">
        <v>257.35484204619934</v>
      </c>
    </row>
    <row r="341" spans="14:16" x14ac:dyDescent="0.2">
      <c r="N341">
        <f t="shared" si="17"/>
        <v>340</v>
      </c>
      <c r="O341" s="63">
        <v>1.6358688930193916</v>
      </c>
      <c r="P341" s="62">
        <v>95.854501810241828</v>
      </c>
    </row>
    <row r="342" spans="14:16" x14ac:dyDescent="0.2">
      <c r="N342">
        <f t="shared" si="17"/>
        <v>341</v>
      </c>
      <c r="O342" s="63">
        <v>1.8416487609637435</v>
      </c>
      <c r="P342" s="62">
        <v>123.02430608947046</v>
      </c>
    </row>
    <row r="343" spans="14:16" x14ac:dyDescent="0.2">
      <c r="N343">
        <f t="shared" si="17"/>
        <v>342</v>
      </c>
      <c r="O343" s="63">
        <v>1.445333754275604</v>
      </c>
      <c r="P343" s="62">
        <v>65.1082867651443</v>
      </c>
    </row>
    <row r="344" spans="14:16" x14ac:dyDescent="0.2">
      <c r="N344">
        <f t="shared" si="17"/>
        <v>343</v>
      </c>
      <c r="O344" s="63">
        <v>1.9461589849195637</v>
      </c>
      <c r="P344" s="62">
        <v>139.96458833404512</v>
      </c>
    </row>
    <row r="345" spans="14:16" x14ac:dyDescent="0.2">
      <c r="N345">
        <f t="shared" si="17"/>
        <v>344</v>
      </c>
      <c r="O345" s="63">
        <v>1.9760273116594465</v>
      </c>
      <c r="P345" s="62">
        <v>143.93368051670325</v>
      </c>
    </row>
    <row r="346" spans="14:16" x14ac:dyDescent="0.2">
      <c r="N346">
        <f t="shared" si="17"/>
        <v>345</v>
      </c>
      <c r="O346" s="63">
        <v>1.5156602940552228</v>
      </c>
      <c r="P346" s="62">
        <v>77.823530591472007</v>
      </c>
    </row>
    <row r="347" spans="14:16" x14ac:dyDescent="0.2">
      <c r="N347">
        <f t="shared" si="17"/>
        <v>346</v>
      </c>
      <c r="O347" s="63">
        <v>0.96749845222604214</v>
      </c>
      <c r="P347" s="62">
        <v>-4.7713377859607533</v>
      </c>
    </row>
    <row r="348" spans="14:16" x14ac:dyDescent="0.2">
      <c r="N348">
        <f t="shared" si="17"/>
        <v>347</v>
      </c>
      <c r="O348" s="63">
        <v>1.6126592397301105</v>
      </c>
      <c r="P348" s="62">
        <v>90.3734490952491</v>
      </c>
    </row>
    <row r="349" spans="14:16" x14ac:dyDescent="0.2">
      <c r="N349">
        <f t="shared" si="17"/>
        <v>348</v>
      </c>
      <c r="O349" s="63">
        <v>2.1280508767168929</v>
      </c>
      <c r="P349" s="62">
        <v>166.18271709519976</v>
      </c>
    </row>
    <row r="350" spans="14:16" x14ac:dyDescent="0.2">
      <c r="N350">
        <f t="shared" si="17"/>
        <v>349</v>
      </c>
      <c r="O350" s="63">
        <v>2.1088535079577375</v>
      </c>
      <c r="P350" s="62">
        <v>164.69486135129586</v>
      </c>
    </row>
    <row r="351" spans="14:16" x14ac:dyDescent="0.2">
      <c r="N351">
        <f t="shared" si="17"/>
        <v>350</v>
      </c>
      <c r="O351" s="63">
        <v>1.8767759803312913</v>
      </c>
      <c r="P351" s="62">
        <v>128.56462176503805</v>
      </c>
    </row>
    <row r="352" spans="14:16" x14ac:dyDescent="0.2">
      <c r="N352">
        <f t="shared" si="17"/>
        <v>351</v>
      </c>
      <c r="O352" s="63">
        <v>1.4194744786911204</v>
      </c>
      <c r="P352" s="62">
        <v>63.192846054772104</v>
      </c>
    </row>
    <row r="353" spans="14:16" x14ac:dyDescent="0.2">
      <c r="N353">
        <f t="shared" si="17"/>
        <v>352</v>
      </c>
      <c r="O353" s="63">
        <v>1.3668496751190327</v>
      </c>
      <c r="P353" s="62">
        <v>53.420139246781076</v>
      </c>
    </row>
    <row r="354" spans="14:16" x14ac:dyDescent="0.2">
      <c r="N354">
        <f t="shared" si="17"/>
        <v>353</v>
      </c>
      <c r="O354" s="63">
        <v>2.1634359225460162</v>
      </c>
      <c r="P354" s="62">
        <v>167.83810888023757</v>
      </c>
    </row>
    <row r="355" spans="14:16" x14ac:dyDescent="0.2">
      <c r="N355">
        <f t="shared" si="17"/>
        <v>354</v>
      </c>
      <c r="O355" s="63">
        <v>1.5796288180465639</v>
      </c>
      <c r="P355" s="62">
        <v>84.270385506037684</v>
      </c>
    </row>
    <row r="356" spans="14:16" x14ac:dyDescent="0.2">
      <c r="N356">
        <f t="shared" si="17"/>
        <v>355</v>
      </c>
      <c r="O356" s="63">
        <v>1.6504697165341962</v>
      </c>
      <c r="P356" s="62">
        <v>96.078244926154298</v>
      </c>
    </row>
    <row r="357" spans="14:16" x14ac:dyDescent="0.2">
      <c r="N357">
        <f t="shared" si="17"/>
        <v>356</v>
      </c>
      <c r="O357" s="63">
        <v>1.8775298311131887</v>
      </c>
      <c r="P357" s="62">
        <v>130.38526554273682</v>
      </c>
    </row>
    <row r="358" spans="14:16" x14ac:dyDescent="0.2">
      <c r="N358">
        <f t="shared" si="17"/>
        <v>357</v>
      </c>
      <c r="O358" s="63">
        <v>2.0446128116184514</v>
      </c>
      <c r="P358" s="62">
        <v>152.14867774433415</v>
      </c>
    </row>
    <row r="359" spans="14:16" x14ac:dyDescent="0.2">
      <c r="N359">
        <f t="shared" si="17"/>
        <v>358</v>
      </c>
      <c r="O359" s="63">
        <v>1.9708065003099593</v>
      </c>
      <c r="P359" s="62">
        <v>145.1900693040358</v>
      </c>
    </row>
    <row r="360" spans="14:16" x14ac:dyDescent="0.2">
      <c r="N360">
        <f t="shared" si="17"/>
        <v>359</v>
      </c>
      <c r="O360" s="63">
        <v>1.9613501940866225</v>
      </c>
      <c r="P360" s="62">
        <v>141.01802467611046</v>
      </c>
    </row>
    <row r="361" spans="14:16" x14ac:dyDescent="0.2">
      <c r="N361">
        <f t="shared" si="17"/>
        <v>360</v>
      </c>
      <c r="O361" s="63">
        <v>1.3791787735877432</v>
      </c>
      <c r="P361" s="62">
        <v>55.252458106513757</v>
      </c>
    </row>
    <row r="362" spans="14:16" x14ac:dyDescent="0.2">
      <c r="N362">
        <f t="shared" si="17"/>
        <v>361</v>
      </c>
      <c r="O362" s="63">
        <v>1.9878536228971675</v>
      </c>
      <c r="P362" s="62">
        <v>145.97446081742717</v>
      </c>
    </row>
    <row r="363" spans="14:16" x14ac:dyDescent="0.2">
      <c r="N363">
        <f t="shared" si="17"/>
        <v>362</v>
      </c>
      <c r="O363" s="63">
        <v>1.7442069112338272</v>
      </c>
      <c r="P363" s="62">
        <v>108.44991011543294</v>
      </c>
    </row>
    <row r="364" spans="14:16" x14ac:dyDescent="0.2">
      <c r="N364">
        <f t="shared" si="17"/>
        <v>363</v>
      </c>
      <c r="O364" s="63">
        <v>1.5105770505562517</v>
      </c>
      <c r="P364" s="62">
        <v>75.914410197846649</v>
      </c>
    </row>
    <row r="365" spans="14:16" x14ac:dyDescent="0.2">
      <c r="N365">
        <f t="shared" si="17"/>
        <v>364</v>
      </c>
      <c r="O365" s="63">
        <v>1.3018760949191459</v>
      </c>
      <c r="P365" s="62">
        <v>44.647056921555162</v>
      </c>
    </row>
    <row r="366" spans="14:16" x14ac:dyDescent="0.2">
      <c r="N366">
        <f t="shared" si="17"/>
        <v>365</v>
      </c>
      <c r="O366" s="63">
        <v>1.4352746032688541</v>
      </c>
      <c r="P366" s="62">
        <v>64.607501913931287</v>
      </c>
    </row>
    <row r="367" spans="14:16" x14ac:dyDescent="0.2">
      <c r="N367">
        <f t="shared" si="17"/>
        <v>366</v>
      </c>
      <c r="O367" s="63">
        <v>2.1351688745331168</v>
      </c>
      <c r="P367" s="62">
        <v>166.6998201983005</v>
      </c>
    </row>
    <row r="368" spans="14:16" x14ac:dyDescent="0.2">
      <c r="N368">
        <f t="shared" si="17"/>
        <v>367</v>
      </c>
      <c r="O368" s="63">
        <v>1.3885076969153431</v>
      </c>
      <c r="P368" s="62">
        <v>56.845352559620665</v>
      </c>
    </row>
    <row r="369" spans="14:16" x14ac:dyDescent="0.2">
      <c r="N369">
        <f t="shared" si="17"/>
        <v>368</v>
      </c>
      <c r="O369" s="63">
        <v>1.2523204544303024</v>
      </c>
      <c r="P369" s="62">
        <v>38.062447759010382</v>
      </c>
    </row>
    <row r="370" spans="14:16" x14ac:dyDescent="0.2">
      <c r="N370">
        <f t="shared" si="17"/>
        <v>369</v>
      </c>
      <c r="O370" s="63">
        <v>1.3622010980633366</v>
      </c>
      <c r="P370" s="62">
        <v>53.691997996665918</v>
      </c>
    </row>
    <row r="371" spans="14:16" x14ac:dyDescent="0.2">
      <c r="N371">
        <f t="shared" si="17"/>
        <v>370</v>
      </c>
      <c r="O371" s="63">
        <v>1.4403839465644519</v>
      </c>
      <c r="P371" s="62">
        <v>65.273889973158077</v>
      </c>
    </row>
    <row r="372" spans="14:16" x14ac:dyDescent="0.2">
      <c r="N372">
        <f t="shared" si="17"/>
        <v>371</v>
      </c>
      <c r="O372" s="63">
        <v>1.144540376893511</v>
      </c>
      <c r="P372" s="62">
        <v>21.185790488429831</v>
      </c>
    </row>
    <row r="373" spans="14:16" x14ac:dyDescent="0.2">
      <c r="N373">
        <f t="shared" si="17"/>
        <v>372</v>
      </c>
      <c r="O373" s="63">
        <v>2.3431682368451221</v>
      </c>
      <c r="P373" s="62">
        <v>200.60434335508194</v>
      </c>
    </row>
    <row r="374" spans="14:16" x14ac:dyDescent="0.2">
      <c r="N374">
        <f t="shared" si="17"/>
        <v>373</v>
      </c>
      <c r="O374" s="63">
        <v>1.6304200082265996</v>
      </c>
      <c r="P374" s="62">
        <v>91.634340650625063</v>
      </c>
    </row>
    <row r="375" spans="14:16" x14ac:dyDescent="0.2">
      <c r="N375">
        <f t="shared" si="17"/>
        <v>374</v>
      </c>
      <c r="O375" s="63">
        <v>2.6755153897142376</v>
      </c>
      <c r="P375" s="62">
        <v>242.40012089805822</v>
      </c>
    </row>
    <row r="376" spans="14:16" x14ac:dyDescent="0.2">
      <c r="N376">
        <f t="shared" si="17"/>
        <v>375</v>
      </c>
      <c r="O376" s="63">
        <v>1.7832452424705887</v>
      </c>
      <c r="P376" s="62">
        <v>112.9051051791985</v>
      </c>
    </row>
    <row r="377" spans="14:16" x14ac:dyDescent="0.2">
      <c r="N377">
        <f t="shared" si="17"/>
        <v>376</v>
      </c>
      <c r="O377" s="63">
        <v>2.0348786777857786</v>
      </c>
      <c r="P377" s="62">
        <v>152.00289969205062</v>
      </c>
    </row>
    <row r="378" spans="14:16" x14ac:dyDescent="0.2">
      <c r="N378">
        <f t="shared" si="17"/>
        <v>377</v>
      </c>
      <c r="O378" s="63">
        <v>2.0382687386359772</v>
      </c>
      <c r="P378" s="62">
        <v>150.86772498134951</v>
      </c>
    </row>
    <row r="379" spans="14:16" x14ac:dyDescent="0.2">
      <c r="N379">
        <f t="shared" si="17"/>
        <v>378</v>
      </c>
      <c r="O379" s="63">
        <v>2.1622371401159017</v>
      </c>
      <c r="P379" s="62">
        <v>170.58370637372744</v>
      </c>
    </row>
    <row r="380" spans="14:16" x14ac:dyDescent="0.2">
      <c r="N380">
        <f t="shared" si="17"/>
        <v>379</v>
      </c>
      <c r="O380" s="63">
        <v>1.6224341532990967</v>
      </c>
      <c r="P380" s="62">
        <v>91.174460578534763</v>
      </c>
    </row>
    <row r="381" spans="14:16" x14ac:dyDescent="0.2">
      <c r="N381">
        <f t="shared" si="17"/>
        <v>380</v>
      </c>
      <c r="O381" s="63">
        <v>1.9334836792145442</v>
      </c>
      <c r="P381" s="62">
        <v>139.36110359030309</v>
      </c>
    </row>
    <row r="382" spans="14:16" x14ac:dyDescent="0.2">
      <c r="N382">
        <f t="shared" si="17"/>
        <v>381</v>
      </c>
      <c r="O382" s="63">
        <v>1.3962268627296597</v>
      </c>
      <c r="P382" s="62">
        <v>59.529615492706569</v>
      </c>
    </row>
    <row r="383" spans="14:16" x14ac:dyDescent="0.2">
      <c r="N383">
        <f t="shared" si="17"/>
        <v>382</v>
      </c>
      <c r="O383" s="63">
        <v>1.7781070939033055</v>
      </c>
      <c r="P383" s="62">
        <v>117.5531841310324</v>
      </c>
    </row>
    <row r="384" spans="14:16" x14ac:dyDescent="0.2">
      <c r="N384">
        <f t="shared" si="17"/>
        <v>383</v>
      </c>
      <c r="O384" s="63">
        <v>1.749739899323427</v>
      </c>
      <c r="P384" s="62">
        <v>109.75221492151218</v>
      </c>
    </row>
    <row r="385" spans="14:16" x14ac:dyDescent="0.2">
      <c r="N385">
        <f t="shared" si="17"/>
        <v>384</v>
      </c>
      <c r="O385" s="63">
        <v>2.2417707052429448</v>
      </c>
      <c r="P385" s="62">
        <v>179.3684069609881</v>
      </c>
    </row>
    <row r="386" spans="14:16" x14ac:dyDescent="0.2">
      <c r="N386">
        <f t="shared" ref="N386:N449" si="18">ROW(N386)-1</f>
        <v>385</v>
      </c>
      <c r="O386" s="63">
        <v>1.2862766816975735</v>
      </c>
      <c r="P386" s="62">
        <v>42.121095168333625</v>
      </c>
    </row>
    <row r="387" spans="14:16" x14ac:dyDescent="0.2">
      <c r="N387">
        <f t="shared" si="18"/>
        <v>386</v>
      </c>
      <c r="O387" s="63">
        <v>1.299960885699537</v>
      </c>
      <c r="P387" s="62">
        <v>44.377656989335918</v>
      </c>
    </row>
    <row r="388" spans="14:16" x14ac:dyDescent="0.2">
      <c r="N388">
        <f t="shared" si="18"/>
        <v>387</v>
      </c>
      <c r="O388" s="63">
        <v>1.4474279504073166</v>
      </c>
      <c r="P388" s="62">
        <v>63.721573717862526</v>
      </c>
    </row>
    <row r="389" spans="14:16" x14ac:dyDescent="0.2">
      <c r="N389">
        <f t="shared" si="18"/>
        <v>388</v>
      </c>
      <c r="O389" s="63">
        <v>1.4154166218621358</v>
      </c>
      <c r="P389" s="62">
        <v>60.519292994307051</v>
      </c>
    </row>
    <row r="390" spans="14:16" x14ac:dyDescent="0.2">
      <c r="N390">
        <f t="shared" si="18"/>
        <v>389</v>
      </c>
      <c r="O390" s="63">
        <v>1.8396630973439672</v>
      </c>
      <c r="P390" s="62">
        <v>123.28372639128227</v>
      </c>
    </row>
    <row r="391" spans="14:16" x14ac:dyDescent="0.2">
      <c r="N391">
        <f t="shared" si="18"/>
        <v>390</v>
      </c>
      <c r="O391" s="63">
        <v>1.5389396486840263</v>
      </c>
      <c r="P391" s="62">
        <v>79.682600207898361</v>
      </c>
    </row>
    <row r="392" spans="14:16" x14ac:dyDescent="0.2">
      <c r="N392">
        <f t="shared" si="18"/>
        <v>391</v>
      </c>
      <c r="O392" s="63">
        <v>1.3908110812211396</v>
      </c>
      <c r="P392" s="62">
        <v>57.671500311410512</v>
      </c>
    </row>
    <row r="393" spans="14:16" x14ac:dyDescent="0.2">
      <c r="N393">
        <f t="shared" si="18"/>
        <v>392</v>
      </c>
      <c r="O393" s="63">
        <v>1.2952858462817107</v>
      </c>
      <c r="P393" s="62">
        <v>43.14644415160501</v>
      </c>
    </row>
    <row r="394" spans="14:16" x14ac:dyDescent="0.2">
      <c r="N394">
        <f t="shared" si="18"/>
        <v>393</v>
      </c>
      <c r="O394" s="63">
        <v>2.1196469773811399</v>
      </c>
      <c r="P394" s="62">
        <v>162.34295693116349</v>
      </c>
    </row>
    <row r="395" spans="14:16" x14ac:dyDescent="0.2">
      <c r="N395">
        <f t="shared" si="18"/>
        <v>394</v>
      </c>
      <c r="O395" s="63">
        <v>1.5356242671858882</v>
      </c>
      <c r="P395" s="62">
        <v>79.511136700218515</v>
      </c>
    </row>
    <row r="396" spans="14:16" x14ac:dyDescent="0.2">
      <c r="N396">
        <f t="shared" si="18"/>
        <v>395</v>
      </c>
      <c r="O396" s="63">
        <v>1.6068305039981261</v>
      </c>
      <c r="P396" s="62">
        <v>91.762369852916521</v>
      </c>
    </row>
    <row r="397" spans="14:16" x14ac:dyDescent="0.2">
      <c r="N397">
        <f t="shared" si="18"/>
        <v>396</v>
      </c>
      <c r="O397" s="63">
        <v>1.7331030966075631</v>
      </c>
      <c r="P397" s="62">
        <v>112.12053593703467</v>
      </c>
    </row>
    <row r="398" spans="14:16" x14ac:dyDescent="0.2">
      <c r="N398">
        <f t="shared" si="18"/>
        <v>397</v>
      </c>
      <c r="O398" s="63">
        <v>1.5318586727740053</v>
      </c>
      <c r="P398" s="62">
        <v>76.573730011328649</v>
      </c>
    </row>
    <row r="399" spans="14:16" x14ac:dyDescent="0.2">
      <c r="N399">
        <f t="shared" si="18"/>
        <v>398</v>
      </c>
      <c r="O399" s="63">
        <v>1.3271837969278408</v>
      </c>
      <c r="P399" s="62">
        <v>49.120148079718547</v>
      </c>
    </row>
    <row r="400" spans="14:16" x14ac:dyDescent="0.2">
      <c r="N400">
        <f t="shared" si="18"/>
        <v>399</v>
      </c>
      <c r="O400" s="63">
        <v>1.7630819806568916</v>
      </c>
      <c r="P400" s="62">
        <v>113.41816399878141</v>
      </c>
    </row>
    <row r="401" spans="14:16" x14ac:dyDescent="0.2">
      <c r="N401">
        <f t="shared" si="18"/>
        <v>400</v>
      </c>
      <c r="O401" s="63">
        <v>1.933560786800774</v>
      </c>
      <c r="P401" s="62">
        <v>141.10495311874044</v>
      </c>
    </row>
    <row r="402" spans="14:16" x14ac:dyDescent="0.2">
      <c r="N402">
        <f t="shared" si="18"/>
        <v>401</v>
      </c>
      <c r="O402" s="63">
        <v>1.7601976457723538</v>
      </c>
      <c r="P402" s="62">
        <v>114.12905408077492</v>
      </c>
    </row>
    <row r="403" spans="14:16" x14ac:dyDescent="0.2">
      <c r="N403">
        <f t="shared" si="18"/>
        <v>402</v>
      </c>
      <c r="O403" s="63">
        <v>1.4060255242540578</v>
      </c>
      <c r="P403" s="62">
        <v>58.761071355327488</v>
      </c>
    </row>
    <row r="404" spans="14:16" x14ac:dyDescent="0.2">
      <c r="N404">
        <f t="shared" si="18"/>
        <v>403</v>
      </c>
      <c r="O404" s="63">
        <v>1.760197495157805</v>
      </c>
      <c r="P404" s="62">
        <v>114.21845390966905</v>
      </c>
    </row>
    <row r="405" spans="14:16" x14ac:dyDescent="0.2">
      <c r="N405">
        <f t="shared" si="18"/>
        <v>404</v>
      </c>
      <c r="O405" s="63">
        <v>2.3481638748948401</v>
      </c>
      <c r="P405" s="62">
        <v>197.12127779187878</v>
      </c>
    </row>
    <row r="406" spans="14:16" x14ac:dyDescent="0.2">
      <c r="N406">
        <f t="shared" si="18"/>
        <v>405</v>
      </c>
      <c r="O406" s="63">
        <v>1.7574043925033758</v>
      </c>
      <c r="P406" s="62">
        <v>111.34264541674506</v>
      </c>
    </row>
    <row r="407" spans="14:16" x14ac:dyDescent="0.2">
      <c r="N407">
        <f t="shared" si="18"/>
        <v>406</v>
      </c>
      <c r="O407" s="63">
        <v>1.6831413110367224</v>
      </c>
      <c r="P407" s="62">
        <v>99.42313510247169</v>
      </c>
    </row>
    <row r="408" spans="14:16" x14ac:dyDescent="0.2">
      <c r="N408">
        <f t="shared" si="18"/>
        <v>407</v>
      </c>
      <c r="O408" s="63">
        <v>1.5208554012913749</v>
      </c>
      <c r="P408" s="62">
        <v>76.928976688001711</v>
      </c>
    </row>
    <row r="409" spans="14:16" x14ac:dyDescent="0.2">
      <c r="N409">
        <f t="shared" si="18"/>
        <v>408</v>
      </c>
      <c r="O409" s="63">
        <v>1.9294237257036888</v>
      </c>
      <c r="P409" s="62">
        <v>137.0823178115003</v>
      </c>
    </row>
    <row r="410" spans="14:16" x14ac:dyDescent="0.2">
      <c r="N410">
        <f t="shared" si="18"/>
        <v>409</v>
      </c>
      <c r="O410" s="63">
        <v>1.5986930888513518</v>
      </c>
      <c r="P410" s="62">
        <v>87.943076524875323</v>
      </c>
    </row>
    <row r="411" spans="14:16" x14ac:dyDescent="0.2">
      <c r="N411">
        <f t="shared" si="18"/>
        <v>410</v>
      </c>
      <c r="O411" s="63">
        <v>1.4342313033759451</v>
      </c>
      <c r="P411" s="62">
        <v>64.380131535217885</v>
      </c>
    </row>
    <row r="412" spans="14:16" x14ac:dyDescent="0.2">
      <c r="N412">
        <f t="shared" si="18"/>
        <v>411</v>
      </c>
      <c r="O412" s="63">
        <v>1.8361478048420077</v>
      </c>
      <c r="P412" s="62">
        <v>119.61863823431719</v>
      </c>
    </row>
    <row r="413" spans="14:16" x14ac:dyDescent="0.2">
      <c r="N413">
        <f t="shared" si="18"/>
        <v>412</v>
      </c>
      <c r="O413" s="63">
        <v>1.423907683705476</v>
      </c>
      <c r="P413" s="62">
        <v>60.772927437595314</v>
      </c>
    </row>
    <row r="414" spans="14:16" x14ac:dyDescent="0.2">
      <c r="N414">
        <f t="shared" si="18"/>
        <v>413</v>
      </c>
      <c r="O414" s="63">
        <v>2.3489825557400956</v>
      </c>
      <c r="P414" s="62">
        <v>194.38642715395335</v>
      </c>
    </row>
    <row r="415" spans="14:16" x14ac:dyDescent="0.2">
      <c r="N415">
        <f t="shared" si="18"/>
        <v>414</v>
      </c>
      <c r="O415" s="63">
        <v>1.7594291071430688</v>
      </c>
      <c r="P415" s="62">
        <v>112.18205156815628</v>
      </c>
    </row>
    <row r="416" spans="14:16" x14ac:dyDescent="0.2">
      <c r="N416">
        <f t="shared" si="18"/>
        <v>415</v>
      </c>
      <c r="O416" s="63">
        <v>1.2485055071339841</v>
      </c>
      <c r="P416" s="62">
        <v>36.319991337140522</v>
      </c>
    </row>
    <row r="417" spans="14:16" x14ac:dyDescent="0.2">
      <c r="N417">
        <f t="shared" si="18"/>
        <v>416</v>
      </c>
      <c r="O417" s="63">
        <v>2.0011224624217845</v>
      </c>
      <c r="P417" s="62">
        <v>148.75480476668972</v>
      </c>
    </row>
    <row r="418" spans="14:16" x14ac:dyDescent="0.2">
      <c r="N418">
        <f t="shared" si="18"/>
        <v>417</v>
      </c>
      <c r="O418" s="63">
        <v>1.9308913038883129</v>
      </c>
      <c r="P418" s="62">
        <v>136.04715140688879</v>
      </c>
    </row>
    <row r="419" spans="14:16" x14ac:dyDescent="0.2">
      <c r="N419">
        <f t="shared" si="18"/>
        <v>418</v>
      </c>
      <c r="O419" s="63">
        <v>2.0606234724435377</v>
      </c>
      <c r="P419" s="62">
        <v>156.45629132765455</v>
      </c>
    </row>
    <row r="420" spans="14:16" x14ac:dyDescent="0.2">
      <c r="N420">
        <f t="shared" si="18"/>
        <v>419</v>
      </c>
      <c r="O420" s="63">
        <v>1.9121588166868879</v>
      </c>
      <c r="P420" s="62">
        <v>136.10784218052109</v>
      </c>
    </row>
    <row r="421" spans="14:16" x14ac:dyDescent="0.2">
      <c r="N421">
        <f t="shared" si="18"/>
        <v>420</v>
      </c>
      <c r="O421" s="63">
        <v>1.6511832360692962</v>
      </c>
      <c r="P421" s="62">
        <v>96.330524116754646</v>
      </c>
    </row>
    <row r="422" spans="14:16" x14ac:dyDescent="0.2">
      <c r="N422">
        <f t="shared" si="18"/>
        <v>421</v>
      </c>
      <c r="O422" s="63">
        <v>1.4024454852767425</v>
      </c>
      <c r="P422" s="62">
        <v>58.987025526586706</v>
      </c>
    </row>
    <row r="423" spans="14:16" x14ac:dyDescent="0.2">
      <c r="N423">
        <f t="shared" si="18"/>
        <v>422</v>
      </c>
      <c r="O423" s="63">
        <v>2.3230476397116893</v>
      </c>
      <c r="P423" s="62">
        <v>193.2022235949683</v>
      </c>
    </row>
    <row r="424" spans="14:16" x14ac:dyDescent="0.2">
      <c r="N424">
        <f t="shared" si="18"/>
        <v>423</v>
      </c>
      <c r="O424" s="63">
        <v>1.5325751837381665</v>
      </c>
      <c r="P424" s="62">
        <v>77.842659622688871</v>
      </c>
    </row>
    <row r="425" spans="14:16" x14ac:dyDescent="0.2">
      <c r="N425">
        <f t="shared" si="18"/>
        <v>424</v>
      </c>
      <c r="O425" s="63">
        <v>1.3772781939905943</v>
      </c>
      <c r="P425" s="62">
        <v>56.158721084264982</v>
      </c>
    </row>
    <row r="426" spans="14:16" x14ac:dyDescent="0.2">
      <c r="N426">
        <f t="shared" si="18"/>
        <v>425</v>
      </c>
      <c r="O426" s="63">
        <v>2.0292741371276382</v>
      </c>
      <c r="P426" s="62">
        <v>151.78240934436548</v>
      </c>
    </row>
    <row r="427" spans="14:16" x14ac:dyDescent="0.2">
      <c r="N427">
        <f t="shared" si="18"/>
        <v>426</v>
      </c>
      <c r="O427" s="63">
        <v>1.6757667437783699</v>
      </c>
      <c r="P427" s="62">
        <v>101.79176749184063</v>
      </c>
    </row>
    <row r="428" spans="14:16" x14ac:dyDescent="0.2">
      <c r="N428">
        <f t="shared" si="18"/>
        <v>427</v>
      </c>
      <c r="O428" s="63">
        <v>1.5421818836960488</v>
      </c>
      <c r="P428" s="62">
        <v>80.541529165288665</v>
      </c>
    </row>
    <row r="429" spans="14:16" x14ac:dyDescent="0.2">
      <c r="N429">
        <f t="shared" si="18"/>
        <v>428</v>
      </c>
      <c r="O429" s="63">
        <v>1.9325235618356675</v>
      </c>
      <c r="P429" s="62">
        <v>135.43212646976173</v>
      </c>
    </row>
    <row r="430" spans="14:16" x14ac:dyDescent="0.2">
      <c r="N430">
        <f t="shared" si="18"/>
        <v>429</v>
      </c>
      <c r="O430" s="63">
        <v>1.972129887363764</v>
      </c>
      <c r="P430" s="62">
        <v>142.04186826944124</v>
      </c>
    </row>
    <row r="431" spans="14:16" x14ac:dyDescent="0.2">
      <c r="N431">
        <f t="shared" si="18"/>
        <v>430</v>
      </c>
      <c r="O431" s="63">
        <v>1.9298803984798512</v>
      </c>
      <c r="P431" s="62">
        <v>138.82917370739287</v>
      </c>
    </row>
    <row r="432" spans="14:16" x14ac:dyDescent="0.2">
      <c r="N432">
        <f t="shared" si="18"/>
        <v>431</v>
      </c>
      <c r="O432" s="63">
        <v>2.1819534022147256</v>
      </c>
      <c r="P432" s="62">
        <v>172.72999482426337</v>
      </c>
    </row>
    <row r="433" spans="14:16" x14ac:dyDescent="0.2">
      <c r="N433">
        <f t="shared" si="18"/>
        <v>432</v>
      </c>
      <c r="O433" s="63">
        <v>1.6192188754389412</v>
      </c>
      <c r="P433" s="62">
        <v>92.35803802891968</v>
      </c>
    </row>
    <row r="434" spans="14:16" x14ac:dyDescent="0.2">
      <c r="N434">
        <f t="shared" si="18"/>
        <v>433</v>
      </c>
      <c r="O434" s="63">
        <v>1.9589893326305585</v>
      </c>
      <c r="P434" s="62">
        <v>138.50923378298009</v>
      </c>
    </row>
    <row r="435" spans="14:16" x14ac:dyDescent="0.2">
      <c r="N435">
        <f t="shared" si="18"/>
        <v>434</v>
      </c>
      <c r="O435" s="63">
        <v>1.5651883624669409</v>
      </c>
      <c r="P435" s="62">
        <v>83.00533460491684</v>
      </c>
    </row>
    <row r="436" spans="14:16" x14ac:dyDescent="0.2">
      <c r="N436">
        <f t="shared" si="18"/>
        <v>435</v>
      </c>
      <c r="O436" s="63">
        <v>2.031351639382911</v>
      </c>
      <c r="P436" s="62">
        <v>153.67929720243828</v>
      </c>
    </row>
    <row r="437" spans="14:16" x14ac:dyDescent="0.2">
      <c r="N437">
        <f t="shared" si="18"/>
        <v>436</v>
      </c>
      <c r="O437" s="63">
        <v>1.6972836730432694</v>
      </c>
      <c r="P437" s="62">
        <v>100.84095534424355</v>
      </c>
    </row>
    <row r="438" spans="14:16" x14ac:dyDescent="0.2">
      <c r="N438">
        <f t="shared" si="18"/>
        <v>437</v>
      </c>
      <c r="O438" s="63">
        <v>1.5979821448626215</v>
      </c>
      <c r="P438" s="62">
        <v>87.348185308374156</v>
      </c>
    </row>
    <row r="439" spans="14:16" x14ac:dyDescent="0.2">
      <c r="N439">
        <f t="shared" si="18"/>
        <v>438</v>
      </c>
      <c r="O439" s="63">
        <v>1.9998207299500919</v>
      </c>
      <c r="P439" s="62">
        <v>146.5184331819336</v>
      </c>
    </row>
    <row r="440" spans="14:16" x14ac:dyDescent="0.2">
      <c r="N440">
        <f t="shared" si="18"/>
        <v>439</v>
      </c>
      <c r="O440" s="63">
        <v>1.5832851472092435</v>
      </c>
      <c r="P440" s="62">
        <v>86.591137004560295</v>
      </c>
    </row>
    <row r="441" spans="14:16" x14ac:dyDescent="0.2">
      <c r="N441">
        <f t="shared" si="18"/>
        <v>440</v>
      </c>
      <c r="O441" s="63">
        <v>1.5062474854246473</v>
      </c>
      <c r="P441" s="62">
        <v>74.973207492531344</v>
      </c>
    </row>
    <row r="442" spans="14:16" x14ac:dyDescent="0.2">
      <c r="N442">
        <f t="shared" si="18"/>
        <v>441</v>
      </c>
      <c r="O442" s="63">
        <v>1.5173446171730605</v>
      </c>
      <c r="P442" s="62">
        <v>74.826606687961601</v>
      </c>
    </row>
    <row r="443" spans="14:16" x14ac:dyDescent="0.2">
      <c r="N443">
        <f t="shared" si="18"/>
        <v>442</v>
      </c>
      <c r="O443" s="63">
        <v>1.9319042306365024</v>
      </c>
      <c r="P443" s="62">
        <v>137.3699644584994</v>
      </c>
    </row>
    <row r="444" spans="14:16" x14ac:dyDescent="0.2">
      <c r="N444">
        <f t="shared" si="18"/>
        <v>443</v>
      </c>
      <c r="O444" s="63">
        <v>2.4432091838721646</v>
      </c>
      <c r="P444" s="62">
        <v>210.97637106371062</v>
      </c>
    </row>
    <row r="445" spans="14:16" x14ac:dyDescent="0.2">
      <c r="N445">
        <f t="shared" si="18"/>
        <v>444</v>
      </c>
      <c r="O445" s="63">
        <v>1.7368384789016655</v>
      </c>
      <c r="P445" s="62">
        <v>108.05629770657512</v>
      </c>
    </row>
    <row r="446" spans="14:16" x14ac:dyDescent="0.2">
      <c r="N446">
        <f t="shared" si="18"/>
        <v>445</v>
      </c>
      <c r="O446" s="63">
        <v>2.027735474494329</v>
      </c>
      <c r="P446" s="62">
        <v>149.9770801141587</v>
      </c>
    </row>
    <row r="447" spans="14:16" x14ac:dyDescent="0.2">
      <c r="N447">
        <f t="shared" si="18"/>
        <v>446</v>
      </c>
      <c r="O447" s="63">
        <v>1.1350585145512413</v>
      </c>
      <c r="P447" s="62">
        <v>19.542518609036335</v>
      </c>
    </row>
    <row r="448" spans="14:16" x14ac:dyDescent="0.2">
      <c r="N448">
        <f t="shared" si="18"/>
        <v>447</v>
      </c>
      <c r="O448" s="63">
        <v>2.326849463284884</v>
      </c>
      <c r="P448" s="62">
        <v>194.75378226512339</v>
      </c>
    </row>
    <row r="449" spans="14:16" x14ac:dyDescent="0.2">
      <c r="N449">
        <f t="shared" si="18"/>
        <v>448</v>
      </c>
      <c r="O449" s="63">
        <v>1.6596685382547403</v>
      </c>
      <c r="P449" s="62">
        <v>95.039298170119793</v>
      </c>
    </row>
    <row r="450" spans="14:16" x14ac:dyDescent="0.2">
      <c r="N450">
        <f t="shared" ref="N450:N513" si="19">ROW(N450)-1</f>
        <v>449</v>
      </c>
      <c r="O450" s="63">
        <v>1.3104700818527117</v>
      </c>
      <c r="P450" s="62">
        <v>46.407553164236134</v>
      </c>
    </row>
    <row r="451" spans="14:16" x14ac:dyDescent="0.2">
      <c r="N451">
        <f t="shared" si="19"/>
        <v>450</v>
      </c>
      <c r="O451" s="63">
        <v>2.0393550938441534</v>
      </c>
      <c r="P451" s="62">
        <v>149.07362220864044</v>
      </c>
    </row>
    <row r="452" spans="14:16" x14ac:dyDescent="0.2">
      <c r="N452">
        <f t="shared" si="19"/>
        <v>451</v>
      </c>
      <c r="O452" s="63">
        <v>1.642729947148877</v>
      </c>
      <c r="P452" s="62">
        <v>94.000406277643094</v>
      </c>
    </row>
    <row r="453" spans="14:16" x14ac:dyDescent="0.2">
      <c r="N453">
        <f t="shared" si="19"/>
        <v>452</v>
      </c>
      <c r="O453" s="63">
        <v>1.4466352947119112</v>
      </c>
      <c r="P453" s="62">
        <v>66.0294016937641</v>
      </c>
    </row>
    <row r="454" spans="14:16" x14ac:dyDescent="0.2">
      <c r="N454">
        <f t="shared" si="19"/>
        <v>453</v>
      </c>
      <c r="O454" s="63">
        <v>2.0480256094633047</v>
      </c>
      <c r="P454" s="62">
        <v>153.95299356485759</v>
      </c>
    </row>
    <row r="455" spans="14:16" x14ac:dyDescent="0.2">
      <c r="N455">
        <f t="shared" si="19"/>
        <v>454</v>
      </c>
      <c r="O455" s="63">
        <v>1.4459256797881195</v>
      </c>
      <c r="P455" s="62">
        <v>66.563410779184096</v>
      </c>
    </row>
    <row r="456" spans="14:16" x14ac:dyDescent="0.2">
      <c r="N456">
        <f t="shared" si="19"/>
        <v>455</v>
      </c>
      <c r="O456" s="63">
        <v>1.5121244395405089</v>
      </c>
      <c r="P456" s="62">
        <v>74.139945685998015</v>
      </c>
    </row>
    <row r="457" spans="14:16" x14ac:dyDescent="0.2">
      <c r="N457">
        <f t="shared" si="19"/>
        <v>456</v>
      </c>
      <c r="O457" s="63">
        <v>1.4110909217769556</v>
      </c>
      <c r="P457" s="62">
        <v>59.99954524261463</v>
      </c>
    </row>
    <row r="458" spans="14:16" x14ac:dyDescent="0.2">
      <c r="N458">
        <f t="shared" si="19"/>
        <v>457</v>
      </c>
      <c r="O458" s="63">
        <v>1.8843555387820838</v>
      </c>
      <c r="P458" s="62">
        <v>131.28805616209851</v>
      </c>
    </row>
    <row r="459" spans="14:16" x14ac:dyDescent="0.2">
      <c r="N459">
        <f t="shared" si="19"/>
        <v>458</v>
      </c>
      <c r="O459" s="63">
        <v>2.2268271544374887</v>
      </c>
      <c r="P459" s="62">
        <v>176.61608084946297</v>
      </c>
    </row>
    <row r="460" spans="14:16" x14ac:dyDescent="0.2">
      <c r="N460">
        <f t="shared" si="19"/>
        <v>459</v>
      </c>
      <c r="O460" s="63">
        <v>1.8124245128948078</v>
      </c>
      <c r="P460" s="62">
        <v>120.64925127870097</v>
      </c>
    </row>
    <row r="461" spans="14:16" x14ac:dyDescent="0.2">
      <c r="N461">
        <f t="shared" si="19"/>
        <v>460</v>
      </c>
      <c r="O461" s="63">
        <v>1.3460595184484134</v>
      </c>
      <c r="P461" s="62">
        <v>51.625685423565187</v>
      </c>
    </row>
    <row r="462" spans="14:16" x14ac:dyDescent="0.2">
      <c r="N462">
        <f t="shared" si="19"/>
        <v>461</v>
      </c>
      <c r="O462" s="63">
        <v>2.5815955900803558</v>
      </c>
      <c r="P462" s="62">
        <v>235.96218752112202</v>
      </c>
    </row>
    <row r="463" spans="14:16" x14ac:dyDescent="0.2">
      <c r="N463">
        <f t="shared" si="19"/>
        <v>462</v>
      </c>
      <c r="O463" s="63">
        <v>1.085745651961141</v>
      </c>
      <c r="P463" s="62">
        <v>12.644060825329603</v>
      </c>
    </row>
    <row r="464" spans="14:16" x14ac:dyDescent="0.2">
      <c r="N464">
        <f t="shared" si="19"/>
        <v>463</v>
      </c>
      <c r="O464" s="63">
        <v>1.4752598099295191</v>
      </c>
      <c r="P464" s="62">
        <v>68.827633318406185</v>
      </c>
    </row>
    <row r="465" spans="14:16" x14ac:dyDescent="0.2">
      <c r="N465">
        <f t="shared" si="19"/>
        <v>464</v>
      </c>
      <c r="O465" s="63">
        <v>1.8431132612301586</v>
      </c>
      <c r="P465" s="62">
        <v>124.12286184310139</v>
      </c>
    </row>
    <row r="466" spans="14:16" x14ac:dyDescent="0.2">
      <c r="N466">
        <f t="shared" si="19"/>
        <v>465</v>
      </c>
      <c r="O466" s="63">
        <v>1.4174252229995277</v>
      </c>
      <c r="P466" s="62">
        <v>60.976623583016021</v>
      </c>
    </row>
    <row r="467" spans="14:16" x14ac:dyDescent="0.2">
      <c r="N467">
        <f t="shared" si="19"/>
        <v>466</v>
      </c>
      <c r="O467" s="63">
        <v>1.9703440101403029</v>
      </c>
      <c r="P467" s="62">
        <v>140.04796584116437</v>
      </c>
    </row>
    <row r="468" spans="14:16" x14ac:dyDescent="0.2">
      <c r="N468">
        <f t="shared" si="19"/>
        <v>467</v>
      </c>
      <c r="O468" s="63">
        <v>1.7394724906434174</v>
      </c>
      <c r="P468" s="62">
        <v>106.58741561553899</v>
      </c>
    </row>
    <row r="469" spans="14:16" x14ac:dyDescent="0.2">
      <c r="N469">
        <f t="shared" si="19"/>
        <v>468</v>
      </c>
      <c r="O469" s="63">
        <v>1.625611705233784</v>
      </c>
      <c r="P469" s="62">
        <v>89.899436134852863</v>
      </c>
    </row>
    <row r="470" spans="14:16" x14ac:dyDescent="0.2">
      <c r="N470">
        <f t="shared" si="19"/>
        <v>469</v>
      </c>
      <c r="O470" s="63">
        <v>1.0252979739136003</v>
      </c>
      <c r="P470" s="62">
        <v>3.7182708472461456</v>
      </c>
    </row>
    <row r="471" spans="14:16" x14ac:dyDescent="0.2">
      <c r="N471">
        <f t="shared" si="19"/>
        <v>470</v>
      </c>
      <c r="O471" s="63">
        <v>1.552681534568471</v>
      </c>
      <c r="P471" s="62">
        <v>83.231971231387831</v>
      </c>
    </row>
    <row r="472" spans="14:16" x14ac:dyDescent="0.2">
      <c r="N472">
        <f t="shared" si="19"/>
        <v>471</v>
      </c>
      <c r="O472" s="63">
        <v>1.4611899791222933</v>
      </c>
      <c r="P472" s="62">
        <v>68.535194534232829</v>
      </c>
    </row>
    <row r="473" spans="14:16" x14ac:dyDescent="0.2">
      <c r="N473">
        <f t="shared" si="19"/>
        <v>472</v>
      </c>
      <c r="O473" s="63">
        <v>1.6487767106676547</v>
      </c>
      <c r="P473" s="62">
        <v>95.537426905381523</v>
      </c>
    </row>
    <row r="474" spans="14:16" x14ac:dyDescent="0.2">
      <c r="N474">
        <f t="shared" si="19"/>
        <v>473</v>
      </c>
      <c r="O474" s="63">
        <v>1.3259133463197414</v>
      </c>
      <c r="P474" s="62">
        <v>47.63907584362542</v>
      </c>
    </row>
    <row r="475" spans="14:16" x14ac:dyDescent="0.2">
      <c r="N475">
        <f t="shared" si="19"/>
        <v>474</v>
      </c>
      <c r="O475" s="63">
        <v>1.5254881933201572</v>
      </c>
      <c r="P475" s="62">
        <v>77.5620460935273</v>
      </c>
    </row>
    <row r="476" spans="14:16" x14ac:dyDescent="0.2">
      <c r="N476">
        <f t="shared" si="19"/>
        <v>475</v>
      </c>
      <c r="O476" s="63">
        <v>2.4209706384082463</v>
      </c>
      <c r="P476" s="62">
        <v>209.16059683716531</v>
      </c>
    </row>
    <row r="477" spans="14:16" x14ac:dyDescent="0.2">
      <c r="N477">
        <f t="shared" si="19"/>
        <v>476</v>
      </c>
      <c r="O477" s="63">
        <v>1.6785877506112759</v>
      </c>
      <c r="P477" s="62">
        <v>99.592277819867547</v>
      </c>
    </row>
    <row r="478" spans="14:16" x14ac:dyDescent="0.2">
      <c r="N478">
        <f t="shared" si="19"/>
        <v>477</v>
      </c>
      <c r="O478" s="63">
        <v>2.6026273255889043</v>
      </c>
      <c r="P478" s="62">
        <v>233.64649946678236</v>
      </c>
    </row>
    <row r="479" spans="14:16" x14ac:dyDescent="0.2">
      <c r="N479">
        <f t="shared" si="19"/>
        <v>478</v>
      </c>
      <c r="O479" s="63">
        <v>1.5212864032775302</v>
      </c>
      <c r="P479" s="62">
        <v>77.025683951252375</v>
      </c>
    </row>
    <row r="480" spans="14:16" x14ac:dyDescent="0.2">
      <c r="N480">
        <f t="shared" si="19"/>
        <v>479</v>
      </c>
      <c r="O480" s="63">
        <v>1.5247344824604789</v>
      </c>
      <c r="P480" s="62">
        <v>76.944617776192558</v>
      </c>
    </row>
    <row r="481" spans="14:16" x14ac:dyDescent="0.2">
      <c r="N481">
        <f t="shared" si="19"/>
        <v>480</v>
      </c>
      <c r="O481" s="63">
        <v>2.3177568426664359</v>
      </c>
      <c r="P481" s="62">
        <v>195.68659194981132</v>
      </c>
    </row>
    <row r="482" spans="14:16" x14ac:dyDescent="0.2">
      <c r="N482">
        <f t="shared" si="19"/>
        <v>481</v>
      </c>
      <c r="O482" s="63">
        <v>1.9012470293097712</v>
      </c>
      <c r="P482" s="62">
        <v>132.66101834342348</v>
      </c>
    </row>
    <row r="483" spans="14:16" x14ac:dyDescent="0.2">
      <c r="N483">
        <f t="shared" si="19"/>
        <v>482</v>
      </c>
      <c r="O483" s="63">
        <v>1.4513741045864588</v>
      </c>
      <c r="P483" s="62">
        <v>66.772198014680498</v>
      </c>
    </row>
    <row r="484" spans="14:16" x14ac:dyDescent="0.2">
      <c r="N484">
        <f t="shared" si="19"/>
        <v>483</v>
      </c>
      <c r="O484" s="63">
        <v>1.2957251915358814</v>
      </c>
      <c r="P484" s="62">
        <v>43.070858485416437</v>
      </c>
    </row>
    <row r="485" spans="14:16" x14ac:dyDescent="0.2">
      <c r="N485">
        <f t="shared" si="19"/>
        <v>484</v>
      </c>
      <c r="O485" s="63">
        <v>1.5278035637428826</v>
      </c>
      <c r="P485" s="62">
        <v>76.984301265029956</v>
      </c>
    </row>
    <row r="486" spans="14:16" x14ac:dyDescent="0.2">
      <c r="N486">
        <f t="shared" si="19"/>
        <v>485</v>
      </c>
      <c r="O486" s="63">
        <v>1.1493839921135189</v>
      </c>
      <c r="P486" s="62">
        <v>22.12465384045916</v>
      </c>
    </row>
    <row r="487" spans="14:16" x14ac:dyDescent="0.2">
      <c r="N487">
        <f t="shared" si="19"/>
        <v>486</v>
      </c>
      <c r="O487" s="63">
        <v>2.4567620943317894</v>
      </c>
      <c r="P487" s="62">
        <v>216.90733923883408</v>
      </c>
    </row>
    <row r="488" spans="14:16" x14ac:dyDescent="0.2">
      <c r="N488">
        <f t="shared" si="19"/>
        <v>487</v>
      </c>
      <c r="O488" s="63">
        <v>1.6325687240242028</v>
      </c>
      <c r="P488" s="62">
        <v>93.120560028097856</v>
      </c>
    </row>
    <row r="489" spans="14:16" x14ac:dyDescent="0.2">
      <c r="N489">
        <f t="shared" si="19"/>
        <v>488</v>
      </c>
      <c r="O489" s="63">
        <v>2.0873250965153218</v>
      </c>
      <c r="P489" s="62">
        <v>159.60498804406797</v>
      </c>
    </row>
    <row r="490" spans="14:16" x14ac:dyDescent="0.2">
      <c r="N490">
        <f t="shared" si="19"/>
        <v>489</v>
      </c>
      <c r="O490" s="63">
        <v>1.9300202006367722</v>
      </c>
      <c r="P490" s="62">
        <v>134.78024702579327</v>
      </c>
    </row>
    <row r="491" spans="14:16" x14ac:dyDescent="0.2">
      <c r="N491">
        <f t="shared" si="19"/>
        <v>490</v>
      </c>
      <c r="O491" s="63">
        <v>1.8882854066971428</v>
      </c>
      <c r="P491" s="62">
        <v>133.54291680072913</v>
      </c>
    </row>
    <row r="492" spans="14:16" x14ac:dyDescent="0.2">
      <c r="N492">
        <f t="shared" si="19"/>
        <v>491</v>
      </c>
      <c r="O492" s="63">
        <v>1.8718240590601178</v>
      </c>
      <c r="P492" s="62">
        <v>129.90557728804473</v>
      </c>
    </row>
    <row r="493" spans="14:16" x14ac:dyDescent="0.2">
      <c r="N493">
        <f t="shared" si="19"/>
        <v>492</v>
      </c>
      <c r="O493" s="63">
        <v>2.0424651689066584</v>
      </c>
      <c r="P493" s="62">
        <v>152.23145003899842</v>
      </c>
    </row>
    <row r="494" spans="14:16" x14ac:dyDescent="0.2">
      <c r="N494">
        <f t="shared" si="19"/>
        <v>493</v>
      </c>
      <c r="O494" s="63">
        <v>1.4173769347740794</v>
      </c>
      <c r="P494" s="62">
        <v>61.031494156110199</v>
      </c>
    </row>
    <row r="495" spans="14:16" x14ac:dyDescent="0.2">
      <c r="N495">
        <f t="shared" si="19"/>
        <v>494</v>
      </c>
      <c r="O495" s="63">
        <v>1.7955852303740931</v>
      </c>
      <c r="P495" s="62">
        <v>120.3361165106231</v>
      </c>
    </row>
    <row r="496" spans="14:16" x14ac:dyDescent="0.2">
      <c r="N496">
        <f t="shared" si="19"/>
        <v>495</v>
      </c>
      <c r="O496" s="63">
        <v>1.6336439662158164</v>
      </c>
      <c r="P496" s="62">
        <v>93.305807941312906</v>
      </c>
    </row>
    <row r="497" spans="14:16" x14ac:dyDescent="0.2">
      <c r="N497">
        <f t="shared" si="19"/>
        <v>496</v>
      </c>
      <c r="O497" s="63">
        <v>1.5610782120839424</v>
      </c>
      <c r="P497" s="62">
        <v>83.461128988542782</v>
      </c>
    </row>
    <row r="498" spans="14:16" x14ac:dyDescent="0.2">
      <c r="N498">
        <f t="shared" si="19"/>
        <v>497</v>
      </c>
      <c r="O498" s="63">
        <v>2.1516448320970061</v>
      </c>
      <c r="P498" s="62">
        <v>168.06148271264433</v>
      </c>
    </row>
    <row r="499" spans="14:16" x14ac:dyDescent="0.2">
      <c r="N499">
        <f t="shared" si="19"/>
        <v>498</v>
      </c>
      <c r="O499" s="63">
        <v>1.3309603142914548</v>
      </c>
      <c r="P499" s="62">
        <v>48.619518998426514</v>
      </c>
    </row>
    <row r="500" spans="14:16" x14ac:dyDescent="0.2">
      <c r="N500">
        <f t="shared" si="19"/>
        <v>499</v>
      </c>
      <c r="O500" s="63">
        <v>1.5974020717756217</v>
      </c>
      <c r="P500" s="62">
        <v>88.602531879793588</v>
      </c>
    </row>
    <row r="501" spans="14:16" x14ac:dyDescent="0.2">
      <c r="N501">
        <f t="shared" si="19"/>
        <v>500</v>
      </c>
      <c r="O501" s="63">
        <v>1.4521399837763509</v>
      </c>
      <c r="P501" s="62">
        <v>65.881379895332145</v>
      </c>
    </row>
    <row r="502" spans="14:16" x14ac:dyDescent="0.2">
      <c r="N502">
        <f t="shared" si="19"/>
        <v>501</v>
      </c>
      <c r="O502" s="63">
        <v>1.4111284799953836</v>
      </c>
      <c r="P502" s="62">
        <v>60.475171022609032</v>
      </c>
    </row>
    <row r="503" spans="14:16" x14ac:dyDescent="0.2">
      <c r="N503">
        <f t="shared" si="19"/>
        <v>502</v>
      </c>
      <c r="O503" s="63">
        <v>2.4500908682472371</v>
      </c>
      <c r="P503" s="62">
        <v>217.57769075388654</v>
      </c>
    </row>
    <row r="504" spans="14:16" x14ac:dyDescent="0.2">
      <c r="N504">
        <f t="shared" si="19"/>
        <v>503</v>
      </c>
      <c r="O504" s="63">
        <v>1.8176313216312614</v>
      </c>
      <c r="P504" s="62">
        <v>120.27129031407986</v>
      </c>
    </row>
    <row r="505" spans="14:16" x14ac:dyDescent="0.2">
      <c r="N505">
        <f t="shared" si="19"/>
        <v>504</v>
      </c>
      <c r="O505" s="63">
        <v>2.0539121243973528</v>
      </c>
      <c r="P505" s="62">
        <v>162.32686515818784</v>
      </c>
    </row>
    <row r="506" spans="14:16" x14ac:dyDescent="0.2">
      <c r="N506">
        <f t="shared" si="19"/>
        <v>505</v>
      </c>
      <c r="O506" s="63">
        <v>1.9700370764681914</v>
      </c>
      <c r="P506" s="62">
        <v>142.99426521760464</v>
      </c>
    </row>
    <row r="507" spans="14:16" x14ac:dyDescent="0.2">
      <c r="N507">
        <f t="shared" si="19"/>
        <v>506</v>
      </c>
      <c r="O507" s="63">
        <v>2.231538371158583</v>
      </c>
      <c r="P507" s="62">
        <v>188.00989981963156</v>
      </c>
    </row>
    <row r="508" spans="14:16" x14ac:dyDescent="0.2">
      <c r="N508">
        <f t="shared" si="19"/>
        <v>507</v>
      </c>
      <c r="O508" s="63">
        <v>2.015186270281208</v>
      </c>
      <c r="P508" s="62">
        <v>150.97018593982656</v>
      </c>
    </row>
    <row r="509" spans="14:16" x14ac:dyDescent="0.2">
      <c r="N509">
        <f t="shared" si="19"/>
        <v>508</v>
      </c>
      <c r="O509" s="63">
        <v>1.4947531436261348</v>
      </c>
      <c r="P509" s="62">
        <v>72.119801214139017</v>
      </c>
    </row>
    <row r="510" spans="14:16" x14ac:dyDescent="0.2">
      <c r="N510">
        <f t="shared" si="19"/>
        <v>509</v>
      </c>
      <c r="O510" s="63">
        <v>1.7313759166262344</v>
      </c>
      <c r="P510" s="62">
        <v>107.93685095023795</v>
      </c>
    </row>
    <row r="511" spans="14:16" x14ac:dyDescent="0.2">
      <c r="N511">
        <f t="shared" si="19"/>
        <v>510</v>
      </c>
      <c r="O511" s="63">
        <v>1.845407805272538</v>
      </c>
      <c r="P511" s="62">
        <v>124.91605449156395</v>
      </c>
    </row>
    <row r="512" spans="14:16" x14ac:dyDescent="0.2">
      <c r="N512">
        <f t="shared" si="19"/>
        <v>511</v>
      </c>
      <c r="O512" s="63">
        <v>1.5365504290306422</v>
      </c>
      <c r="P512" s="62">
        <v>78.665955470181814</v>
      </c>
    </row>
    <row r="513" spans="14:16" x14ac:dyDescent="0.2">
      <c r="N513">
        <f t="shared" si="19"/>
        <v>512</v>
      </c>
      <c r="O513" s="63">
        <v>1.3152141297135853</v>
      </c>
      <c r="P513" s="62">
        <v>45.845803788783485</v>
      </c>
    </row>
    <row r="514" spans="14:16" x14ac:dyDescent="0.2">
      <c r="N514">
        <f t="shared" ref="N514:N577" si="20">ROW(N514)-1</f>
        <v>513</v>
      </c>
      <c r="O514" s="63">
        <v>1.5107715962321409</v>
      </c>
      <c r="P514" s="62">
        <v>76.174278067738612</v>
      </c>
    </row>
    <row r="515" spans="14:16" x14ac:dyDescent="0.2">
      <c r="N515">
        <f t="shared" si="20"/>
        <v>514</v>
      </c>
      <c r="O515" s="63">
        <v>2.2046036789934638</v>
      </c>
      <c r="P515" s="62">
        <v>180.76334309710157</v>
      </c>
    </row>
    <row r="516" spans="14:16" x14ac:dyDescent="0.2">
      <c r="N516">
        <f t="shared" si="20"/>
        <v>515</v>
      </c>
      <c r="O516" s="63">
        <v>1.358340570512397</v>
      </c>
      <c r="P516" s="62">
        <v>52.314472574864794</v>
      </c>
    </row>
    <row r="517" spans="14:16" x14ac:dyDescent="0.2">
      <c r="N517">
        <f t="shared" si="20"/>
        <v>516</v>
      </c>
      <c r="O517" s="63">
        <v>1.6148049344374593</v>
      </c>
      <c r="P517" s="62">
        <v>90.778491108992711</v>
      </c>
    </row>
    <row r="518" spans="14:16" x14ac:dyDescent="0.2">
      <c r="N518">
        <f t="shared" si="20"/>
        <v>517</v>
      </c>
      <c r="O518" s="63">
        <v>2.0098860974957922</v>
      </c>
      <c r="P518" s="62">
        <v>150.03564479542609</v>
      </c>
    </row>
    <row r="519" spans="14:16" x14ac:dyDescent="0.2">
      <c r="N519">
        <f t="shared" si="20"/>
        <v>518</v>
      </c>
      <c r="O519" s="63">
        <v>2.1189580742230687</v>
      </c>
      <c r="P519" s="62">
        <v>162.57974915055877</v>
      </c>
    </row>
    <row r="520" spans="14:16" x14ac:dyDescent="0.2">
      <c r="N520">
        <f t="shared" si="20"/>
        <v>519</v>
      </c>
      <c r="O520" s="63">
        <v>1.5251426035512716</v>
      </c>
      <c r="P520" s="62">
        <v>76.008490936703026</v>
      </c>
    </row>
    <row r="521" spans="14:16" x14ac:dyDescent="0.2">
      <c r="N521">
        <f t="shared" si="20"/>
        <v>520</v>
      </c>
      <c r="O521" s="63">
        <v>1.2025019565322621</v>
      </c>
      <c r="P521" s="62">
        <v>30.296037306151874</v>
      </c>
    </row>
    <row r="522" spans="14:16" x14ac:dyDescent="0.2">
      <c r="N522">
        <f t="shared" si="20"/>
        <v>521</v>
      </c>
      <c r="O522" s="63">
        <v>1.6374630323453767</v>
      </c>
      <c r="P522" s="62">
        <v>95.723428296647313</v>
      </c>
    </row>
    <row r="523" spans="14:16" x14ac:dyDescent="0.2">
      <c r="N523">
        <f t="shared" si="20"/>
        <v>522</v>
      </c>
      <c r="O523" s="63">
        <v>1.6247902823255072</v>
      </c>
      <c r="P523" s="62">
        <v>91.045463205555706</v>
      </c>
    </row>
    <row r="524" spans="14:16" x14ac:dyDescent="0.2">
      <c r="N524">
        <f t="shared" si="20"/>
        <v>523</v>
      </c>
      <c r="O524" s="63">
        <v>1.1341536613064156</v>
      </c>
      <c r="P524" s="62">
        <v>19.524986529876202</v>
      </c>
    </row>
    <row r="525" spans="14:16" x14ac:dyDescent="0.2">
      <c r="N525">
        <f t="shared" si="20"/>
        <v>524</v>
      </c>
      <c r="O525" s="63">
        <v>1.3048299851150034</v>
      </c>
      <c r="P525" s="62">
        <v>44.223475946623012</v>
      </c>
    </row>
    <row r="526" spans="14:16" x14ac:dyDescent="0.2">
      <c r="N526">
        <f t="shared" si="20"/>
        <v>525</v>
      </c>
      <c r="O526" s="63">
        <v>1.8203774842311549</v>
      </c>
      <c r="P526" s="62">
        <v>120.06075012246615</v>
      </c>
    </row>
    <row r="527" spans="14:16" x14ac:dyDescent="0.2">
      <c r="N527">
        <f t="shared" si="20"/>
        <v>526</v>
      </c>
      <c r="O527" s="63">
        <v>1.7820548743383411</v>
      </c>
      <c r="P527" s="62">
        <v>114.20908109671359</v>
      </c>
    </row>
    <row r="528" spans="14:16" x14ac:dyDescent="0.2">
      <c r="N528">
        <f t="shared" si="20"/>
        <v>527</v>
      </c>
      <c r="O528" s="63">
        <v>1.8358159279147661</v>
      </c>
      <c r="P528" s="62">
        <v>120.90016889394846</v>
      </c>
    </row>
    <row r="529" spans="14:16" x14ac:dyDescent="0.2">
      <c r="N529">
        <f t="shared" si="20"/>
        <v>528</v>
      </c>
      <c r="O529" s="63">
        <v>1.3652123671028638</v>
      </c>
      <c r="P529" s="62">
        <v>52.958754540804875</v>
      </c>
    </row>
    <row r="530" spans="14:16" x14ac:dyDescent="0.2">
      <c r="N530">
        <f t="shared" si="20"/>
        <v>529</v>
      </c>
      <c r="O530" s="63">
        <v>1.0063723750646698</v>
      </c>
      <c r="P530" s="62">
        <v>0.93737960922459251</v>
      </c>
    </row>
    <row r="531" spans="14:16" x14ac:dyDescent="0.2">
      <c r="N531">
        <f t="shared" si="20"/>
        <v>530</v>
      </c>
      <c r="O531" s="63">
        <v>1.6470639680928232</v>
      </c>
      <c r="P531" s="62">
        <v>96.061367224904728</v>
      </c>
    </row>
    <row r="532" spans="14:16" x14ac:dyDescent="0.2">
      <c r="N532">
        <f t="shared" si="20"/>
        <v>531</v>
      </c>
      <c r="O532" s="63">
        <v>1.5480720418009424</v>
      </c>
      <c r="P532" s="62">
        <v>79.964913224958963</v>
      </c>
    </row>
    <row r="533" spans="14:16" x14ac:dyDescent="0.2">
      <c r="N533">
        <f t="shared" si="20"/>
        <v>532</v>
      </c>
      <c r="O533" s="63">
        <v>1.3127663556013136</v>
      </c>
      <c r="P533" s="62">
        <v>45.465221923666206</v>
      </c>
    </row>
    <row r="534" spans="14:16" x14ac:dyDescent="0.2">
      <c r="N534">
        <f t="shared" si="20"/>
        <v>533</v>
      </c>
      <c r="O534" s="63">
        <v>1.7022811628470385</v>
      </c>
      <c r="P534" s="62">
        <v>105.53233081405523</v>
      </c>
    </row>
    <row r="535" spans="14:16" x14ac:dyDescent="0.2">
      <c r="N535">
        <f t="shared" si="20"/>
        <v>534</v>
      </c>
      <c r="O535" s="63">
        <v>2.1264820438483474</v>
      </c>
      <c r="P535" s="62">
        <v>166.49064071978168</v>
      </c>
    </row>
    <row r="536" spans="14:16" x14ac:dyDescent="0.2">
      <c r="N536">
        <f t="shared" si="20"/>
        <v>535</v>
      </c>
      <c r="O536" s="63">
        <v>2.122737407169168</v>
      </c>
      <c r="P536" s="62">
        <v>165.28850071372503</v>
      </c>
    </row>
    <row r="537" spans="14:16" x14ac:dyDescent="0.2">
      <c r="N537">
        <f t="shared" si="20"/>
        <v>536</v>
      </c>
      <c r="O537" s="63">
        <v>1.6607898269323713</v>
      </c>
      <c r="P537" s="62">
        <v>95.630758117969094</v>
      </c>
    </row>
    <row r="538" spans="14:16" x14ac:dyDescent="0.2">
      <c r="N538">
        <f t="shared" si="20"/>
        <v>537</v>
      </c>
      <c r="O538" s="63">
        <v>1.829855423513314</v>
      </c>
      <c r="P538" s="62">
        <v>124.0401954690426</v>
      </c>
    </row>
    <row r="539" spans="14:16" x14ac:dyDescent="0.2">
      <c r="N539">
        <f t="shared" si="20"/>
        <v>538</v>
      </c>
      <c r="O539" s="63">
        <v>1.906186072729964</v>
      </c>
      <c r="P539" s="62">
        <v>133.40707138518218</v>
      </c>
    </row>
    <row r="540" spans="14:16" x14ac:dyDescent="0.2">
      <c r="N540">
        <f t="shared" si="20"/>
        <v>539</v>
      </c>
      <c r="O540" s="63">
        <v>1.6155564753628497</v>
      </c>
      <c r="P540" s="62">
        <v>89.88004273760771</v>
      </c>
    </row>
    <row r="541" spans="14:16" x14ac:dyDescent="0.2">
      <c r="N541">
        <f t="shared" si="20"/>
        <v>540</v>
      </c>
      <c r="O541" s="63">
        <v>1.8218892312814225</v>
      </c>
      <c r="P541" s="62">
        <v>119.84718674539297</v>
      </c>
    </row>
    <row r="542" spans="14:16" x14ac:dyDescent="0.2">
      <c r="N542">
        <f t="shared" si="20"/>
        <v>541</v>
      </c>
      <c r="O542" s="63">
        <v>1.7313818290020329</v>
      </c>
      <c r="P542" s="62">
        <v>108.59320728203974</v>
      </c>
    </row>
    <row r="543" spans="14:16" x14ac:dyDescent="0.2">
      <c r="N543">
        <f t="shared" si="20"/>
        <v>542</v>
      </c>
      <c r="O543" s="63">
        <v>1.4510260976309857</v>
      </c>
      <c r="P543" s="62">
        <v>65.69201568035416</v>
      </c>
    </row>
    <row r="544" spans="14:16" x14ac:dyDescent="0.2">
      <c r="N544">
        <f t="shared" si="20"/>
        <v>543</v>
      </c>
      <c r="O544" s="63">
        <v>1.1708594273555102</v>
      </c>
      <c r="P544" s="62">
        <v>25.33146322977359</v>
      </c>
    </row>
    <row r="545" spans="14:16" x14ac:dyDescent="0.2">
      <c r="N545">
        <f t="shared" si="20"/>
        <v>544</v>
      </c>
      <c r="O545" s="63">
        <v>1.5387911497344589</v>
      </c>
      <c r="P545" s="62">
        <v>80.494427345069226</v>
      </c>
    </row>
    <row r="546" spans="14:16" x14ac:dyDescent="0.2">
      <c r="N546">
        <f t="shared" si="20"/>
        <v>545</v>
      </c>
      <c r="O546" s="63">
        <v>1.3029051151258113</v>
      </c>
      <c r="P546" s="62">
        <v>44.734795620108656</v>
      </c>
    </row>
    <row r="547" spans="14:16" x14ac:dyDescent="0.2">
      <c r="N547">
        <f t="shared" si="20"/>
        <v>546</v>
      </c>
      <c r="O547" s="63">
        <v>2.2397023037884627</v>
      </c>
      <c r="P547" s="62">
        <v>178.61406515887356</v>
      </c>
    </row>
    <row r="548" spans="14:16" x14ac:dyDescent="0.2">
      <c r="N548">
        <f t="shared" si="20"/>
        <v>547</v>
      </c>
      <c r="O548" s="63">
        <v>1.7629830205165871</v>
      </c>
      <c r="P548" s="62">
        <v>112.50737999942055</v>
      </c>
    </row>
    <row r="549" spans="14:16" x14ac:dyDescent="0.2">
      <c r="N549">
        <f t="shared" si="20"/>
        <v>548</v>
      </c>
      <c r="O549" s="63">
        <v>1.6163250072095676</v>
      </c>
      <c r="P549" s="62">
        <v>88.8623878509012</v>
      </c>
    </row>
    <row r="550" spans="14:16" x14ac:dyDescent="0.2">
      <c r="N550">
        <f t="shared" si="20"/>
        <v>549</v>
      </c>
      <c r="O550" s="63">
        <v>1.5063914476222793</v>
      </c>
      <c r="P550" s="62">
        <v>72.81320442819063</v>
      </c>
    </row>
    <row r="551" spans="14:16" x14ac:dyDescent="0.2">
      <c r="N551">
        <f t="shared" si="20"/>
        <v>550</v>
      </c>
      <c r="O551" s="63">
        <v>1.6233777376649157</v>
      </c>
      <c r="P551" s="62">
        <v>93.824192020574543</v>
      </c>
    </row>
    <row r="552" spans="14:16" x14ac:dyDescent="0.2">
      <c r="N552">
        <f t="shared" si="20"/>
        <v>551</v>
      </c>
      <c r="O552" s="63">
        <v>0.99431499580615346</v>
      </c>
      <c r="P552" s="62">
        <v>-0.83716102785660951</v>
      </c>
    </row>
    <row r="553" spans="14:16" x14ac:dyDescent="0.2">
      <c r="N553">
        <f t="shared" si="20"/>
        <v>552</v>
      </c>
      <c r="O553" s="63">
        <v>2.180114824193748</v>
      </c>
      <c r="P553" s="62">
        <v>174.55410484588319</v>
      </c>
    </row>
    <row r="554" spans="14:16" x14ac:dyDescent="0.2">
      <c r="N554">
        <f t="shared" si="20"/>
        <v>553</v>
      </c>
      <c r="O554" s="63">
        <v>2.3428415693868865</v>
      </c>
      <c r="P554" s="62">
        <v>196.13203136943812</v>
      </c>
    </row>
    <row r="555" spans="14:16" x14ac:dyDescent="0.2">
      <c r="N555">
        <f t="shared" si="20"/>
        <v>554</v>
      </c>
      <c r="O555" s="63">
        <v>1.5999307552271753</v>
      </c>
      <c r="P555" s="62">
        <v>88.106455441382934</v>
      </c>
    </row>
    <row r="556" spans="14:16" x14ac:dyDescent="0.2">
      <c r="N556">
        <f t="shared" si="20"/>
        <v>555</v>
      </c>
      <c r="O556" s="63">
        <v>2.4467016668706778</v>
      </c>
      <c r="P556" s="62">
        <v>211.87436323769518</v>
      </c>
    </row>
    <row r="557" spans="14:16" x14ac:dyDescent="0.2">
      <c r="N557">
        <f t="shared" si="20"/>
        <v>556</v>
      </c>
      <c r="O557" s="63">
        <v>1.9127611812358714</v>
      </c>
      <c r="P557" s="62">
        <v>133.85991034749702</v>
      </c>
    </row>
    <row r="558" spans="14:16" x14ac:dyDescent="0.2">
      <c r="N558">
        <f t="shared" si="20"/>
        <v>557</v>
      </c>
      <c r="O558" s="63">
        <v>1.9335597701557332</v>
      </c>
      <c r="P558" s="62">
        <v>134.69121514268355</v>
      </c>
    </row>
    <row r="559" spans="14:16" x14ac:dyDescent="0.2">
      <c r="N559">
        <f t="shared" si="20"/>
        <v>558</v>
      </c>
      <c r="O559" s="63">
        <v>1.4416232964333335</v>
      </c>
      <c r="P559" s="62">
        <v>65.05017860465162</v>
      </c>
    </row>
    <row r="560" spans="14:16" x14ac:dyDescent="0.2">
      <c r="N560">
        <f t="shared" si="20"/>
        <v>559</v>
      </c>
      <c r="O560" s="63">
        <v>1.426854282702033</v>
      </c>
      <c r="P560" s="62">
        <v>64.17276025963298</v>
      </c>
    </row>
    <row r="561" spans="14:16" x14ac:dyDescent="0.2">
      <c r="N561">
        <f t="shared" si="20"/>
        <v>560</v>
      </c>
      <c r="O561" s="63">
        <v>2.3232437706286628</v>
      </c>
      <c r="P561" s="62">
        <v>194.84132661949653</v>
      </c>
    </row>
    <row r="562" spans="14:16" x14ac:dyDescent="0.2">
      <c r="N562">
        <f t="shared" si="20"/>
        <v>561</v>
      </c>
      <c r="O562" s="63">
        <v>1.8530445600589274</v>
      </c>
      <c r="P562" s="62">
        <v>128.00726385830569</v>
      </c>
    </row>
    <row r="563" spans="14:16" x14ac:dyDescent="0.2">
      <c r="N563">
        <f t="shared" si="20"/>
        <v>562</v>
      </c>
      <c r="O563" s="63">
        <v>1.103336338603454</v>
      </c>
      <c r="P563" s="62">
        <v>15.285099464354886</v>
      </c>
    </row>
    <row r="564" spans="14:16" x14ac:dyDescent="0.2">
      <c r="N564">
        <f t="shared" si="20"/>
        <v>563</v>
      </c>
      <c r="O564" s="63">
        <v>1.5553449189335087</v>
      </c>
      <c r="P564" s="62">
        <v>82.965242449588857</v>
      </c>
    </row>
    <row r="565" spans="14:16" x14ac:dyDescent="0.2">
      <c r="N565">
        <f t="shared" si="20"/>
        <v>564</v>
      </c>
      <c r="O565" s="63">
        <v>1.3842776096418832</v>
      </c>
      <c r="P565" s="62">
        <v>56.672452510337564</v>
      </c>
    </row>
    <row r="566" spans="14:16" x14ac:dyDescent="0.2">
      <c r="N566">
        <f t="shared" si="20"/>
        <v>565</v>
      </c>
      <c r="O566" s="63">
        <v>2.32379239542743</v>
      </c>
      <c r="P566" s="62">
        <v>195.47058667873932</v>
      </c>
    </row>
    <row r="567" spans="14:16" x14ac:dyDescent="0.2">
      <c r="N567">
        <f t="shared" si="20"/>
        <v>566</v>
      </c>
      <c r="O567" s="63">
        <v>1.9363961850082678</v>
      </c>
      <c r="P567" s="62">
        <v>135.90121563887934</v>
      </c>
    </row>
    <row r="568" spans="14:16" x14ac:dyDescent="0.2">
      <c r="N568">
        <f t="shared" si="20"/>
        <v>567</v>
      </c>
      <c r="O568" s="63">
        <v>1.5723067606303418</v>
      </c>
      <c r="P568" s="62">
        <v>82.130646565597317</v>
      </c>
    </row>
    <row r="569" spans="14:16" x14ac:dyDescent="0.2">
      <c r="N569">
        <f t="shared" si="20"/>
        <v>568</v>
      </c>
      <c r="O569" s="63">
        <v>1.6879795624445955</v>
      </c>
      <c r="P569" s="62">
        <v>100.91045317241102</v>
      </c>
    </row>
    <row r="570" spans="14:16" x14ac:dyDescent="0.2">
      <c r="N570">
        <f t="shared" si="20"/>
        <v>569</v>
      </c>
      <c r="O570" s="63">
        <v>1.6498586691918911</v>
      </c>
      <c r="P570" s="62">
        <v>97.582297165368942</v>
      </c>
    </row>
    <row r="571" spans="14:16" x14ac:dyDescent="0.2">
      <c r="N571">
        <f t="shared" si="20"/>
        <v>570</v>
      </c>
      <c r="O571" s="63">
        <v>1.4840399726348579</v>
      </c>
      <c r="P571" s="62">
        <v>71.098222304304528</v>
      </c>
    </row>
    <row r="572" spans="14:16" x14ac:dyDescent="0.2">
      <c r="N572">
        <f t="shared" si="20"/>
        <v>571</v>
      </c>
      <c r="O572" s="63">
        <v>1.6341326298287382</v>
      </c>
      <c r="P572" s="62">
        <v>93.510686259808267</v>
      </c>
    </row>
    <row r="573" spans="14:16" x14ac:dyDescent="0.2">
      <c r="N573">
        <f t="shared" si="20"/>
        <v>572</v>
      </c>
      <c r="O573" s="63">
        <v>1.9055084070700428</v>
      </c>
      <c r="P573" s="62">
        <v>135.14721949755088</v>
      </c>
    </row>
    <row r="574" spans="14:16" x14ac:dyDescent="0.2">
      <c r="N574">
        <f t="shared" si="20"/>
        <v>573</v>
      </c>
      <c r="O574" s="63">
        <v>1.8889631967826563</v>
      </c>
      <c r="P574" s="62">
        <v>133.9194876043274</v>
      </c>
    </row>
    <row r="575" spans="14:16" x14ac:dyDescent="0.2">
      <c r="N575">
        <f t="shared" si="20"/>
        <v>574</v>
      </c>
      <c r="O575" s="63">
        <v>1.7031355236699555</v>
      </c>
      <c r="P575" s="62">
        <v>104.37603606976688</v>
      </c>
    </row>
    <row r="576" spans="14:16" x14ac:dyDescent="0.2">
      <c r="N576">
        <f t="shared" si="20"/>
        <v>575</v>
      </c>
      <c r="O576" s="63">
        <v>2.264838829694336</v>
      </c>
      <c r="P576" s="62">
        <v>186.30037936790163</v>
      </c>
    </row>
    <row r="577" spans="14:16" x14ac:dyDescent="0.2">
      <c r="N577">
        <f t="shared" si="20"/>
        <v>576</v>
      </c>
      <c r="O577" s="63">
        <v>1.5285363128055403</v>
      </c>
      <c r="P577" s="62">
        <v>78.281101933476123</v>
      </c>
    </row>
    <row r="578" spans="14:16" x14ac:dyDescent="0.2">
      <c r="N578">
        <f t="shared" ref="N578:N641" si="21">ROW(N578)-1</f>
        <v>577</v>
      </c>
      <c r="O578" s="63">
        <v>1.8173811124180415</v>
      </c>
      <c r="P578" s="62">
        <v>119.9738167088536</v>
      </c>
    </row>
    <row r="579" spans="14:16" x14ac:dyDescent="0.2">
      <c r="N579">
        <f t="shared" si="21"/>
        <v>578</v>
      </c>
      <c r="O579" s="63">
        <v>2.4793054955545557</v>
      </c>
      <c r="P579" s="62">
        <v>215.51045732740204</v>
      </c>
    </row>
    <row r="580" spans="14:16" x14ac:dyDescent="0.2">
      <c r="N580">
        <f t="shared" si="21"/>
        <v>579</v>
      </c>
      <c r="O580" s="63">
        <v>1.6772124889851732</v>
      </c>
      <c r="P580" s="62">
        <v>98.921828234883577</v>
      </c>
    </row>
    <row r="581" spans="14:16" x14ac:dyDescent="0.2">
      <c r="N581">
        <f t="shared" si="21"/>
        <v>580</v>
      </c>
      <c r="O581" s="63">
        <v>1.5652635572454585</v>
      </c>
      <c r="P581" s="62">
        <v>82.812041530298558</v>
      </c>
    </row>
    <row r="582" spans="14:16" x14ac:dyDescent="0.2">
      <c r="N582">
        <f t="shared" si="21"/>
        <v>581</v>
      </c>
      <c r="O582" s="63">
        <v>1.5758260048991979</v>
      </c>
      <c r="P582" s="62">
        <v>85.486077253900277</v>
      </c>
    </row>
    <row r="583" spans="14:16" x14ac:dyDescent="0.2">
      <c r="N583">
        <f t="shared" si="21"/>
        <v>582</v>
      </c>
      <c r="O583" s="63">
        <v>1.4489707220648906</v>
      </c>
      <c r="P583" s="62">
        <v>64.559281552506405</v>
      </c>
    </row>
    <row r="584" spans="14:16" x14ac:dyDescent="0.2">
      <c r="N584">
        <f t="shared" si="21"/>
        <v>583</v>
      </c>
      <c r="O584" s="63">
        <v>1.5693489339036488</v>
      </c>
      <c r="P584" s="62">
        <v>82.415548199338161</v>
      </c>
    </row>
    <row r="585" spans="14:16" x14ac:dyDescent="0.2">
      <c r="N585">
        <f t="shared" si="21"/>
        <v>584</v>
      </c>
      <c r="O585" s="63">
        <v>1.3870049089089229</v>
      </c>
      <c r="P585" s="62">
        <v>56.600482504027639</v>
      </c>
    </row>
    <row r="586" spans="14:16" x14ac:dyDescent="0.2">
      <c r="N586">
        <f t="shared" si="21"/>
        <v>585</v>
      </c>
      <c r="O586" s="63">
        <v>1.9206470019078197</v>
      </c>
      <c r="P586" s="62">
        <v>136.91414366808152</v>
      </c>
    </row>
    <row r="587" spans="14:16" x14ac:dyDescent="0.2">
      <c r="N587">
        <f t="shared" si="21"/>
        <v>586</v>
      </c>
      <c r="O587" s="63">
        <v>1.5071687987958515</v>
      </c>
      <c r="P587" s="62">
        <v>74.025151313114321</v>
      </c>
    </row>
    <row r="588" spans="14:16" x14ac:dyDescent="0.2">
      <c r="N588">
        <f t="shared" si="21"/>
        <v>587</v>
      </c>
      <c r="O588" s="63">
        <v>1.4686102522940443</v>
      </c>
      <c r="P588" s="62">
        <v>71.187659459998258</v>
      </c>
    </row>
    <row r="589" spans="14:16" x14ac:dyDescent="0.2">
      <c r="N589">
        <f t="shared" si="21"/>
        <v>588</v>
      </c>
      <c r="O589" s="63">
        <v>1.3903064320954162</v>
      </c>
      <c r="P589" s="62">
        <v>57.937847897542952</v>
      </c>
    </row>
    <row r="590" spans="14:16" x14ac:dyDescent="0.2">
      <c r="N590">
        <f t="shared" si="21"/>
        <v>589</v>
      </c>
      <c r="O590" s="63">
        <v>1.8306505384054343</v>
      </c>
      <c r="P590" s="62">
        <v>124.20615401437419</v>
      </c>
    </row>
    <row r="591" spans="14:16" x14ac:dyDescent="0.2">
      <c r="N591">
        <f t="shared" si="21"/>
        <v>590</v>
      </c>
      <c r="O591" s="63">
        <v>2.1193418119533662</v>
      </c>
      <c r="P591" s="62">
        <v>159.10341497340221</v>
      </c>
    </row>
    <row r="592" spans="14:16" x14ac:dyDescent="0.2">
      <c r="N592">
        <f t="shared" si="21"/>
        <v>591</v>
      </c>
      <c r="O592" s="63">
        <v>1.8838402506380463</v>
      </c>
      <c r="P592" s="62">
        <v>130.84568338555138</v>
      </c>
    </row>
    <row r="593" spans="14:16" x14ac:dyDescent="0.2">
      <c r="N593">
        <f t="shared" si="21"/>
        <v>592</v>
      </c>
      <c r="O593" s="63">
        <v>2.1669107689401739</v>
      </c>
      <c r="P593" s="62">
        <v>167.67879486728134</v>
      </c>
    </row>
    <row r="594" spans="14:16" x14ac:dyDescent="0.2">
      <c r="N594">
        <f t="shared" si="21"/>
        <v>593</v>
      </c>
      <c r="O594" s="63">
        <v>1.5522729287222969</v>
      </c>
      <c r="P594" s="62">
        <v>79.904563057489469</v>
      </c>
    </row>
    <row r="595" spans="14:16" x14ac:dyDescent="0.2">
      <c r="N595">
        <f t="shared" si="21"/>
        <v>594</v>
      </c>
      <c r="O595" s="63">
        <v>1.9441633385539283</v>
      </c>
      <c r="P595" s="62">
        <v>136.13691511169233</v>
      </c>
    </row>
    <row r="596" spans="14:16" x14ac:dyDescent="0.2">
      <c r="N596">
        <f t="shared" si="21"/>
        <v>595</v>
      </c>
      <c r="O596" s="63">
        <v>1.7527804696651741</v>
      </c>
      <c r="P596" s="62">
        <v>109.84205077928306</v>
      </c>
    </row>
    <row r="597" spans="14:16" x14ac:dyDescent="0.2">
      <c r="N597">
        <f t="shared" si="21"/>
        <v>596</v>
      </c>
      <c r="O597" s="63">
        <v>1.5414666570662059</v>
      </c>
      <c r="P597" s="62">
        <v>78.080673331756401</v>
      </c>
    </row>
    <row r="598" spans="14:16" x14ac:dyDescent="0.2">
      <c r="N598">
        <f t="shared" si="21"/>
        <v>597</v>
      </c>
      <c r="O598" s="63">
        <v>1.6572307676858566</v>
      </c>
      <c r="P598" s="62">
        <v>96.537639055318721</v>
      </c>
    </row>
    <row r="599" spans="14:16" x14ac:dyDescent="0.2">
      <c r="N599">
        <f t="shared" si="21"/>
        <v>598</v>
      </c>
      <c r="O599" s="63">
        <v>1.4869603432363114</v>
      </c>
      <c r="P599" s="62">
        <v>72.658155793173194</v>
      </c>
    </row>
    <row r="600" spans="14:16" x14ac:dyDescent="0.2">
      <c r="N600">
        <f t="shared" si="21"/>
        <v>599</v>
      </c>
      <c r="O600" s="63">
        <v>1.6351276353239581</v>
      </c>
      <c r="P600" s="62">
        <v>93.461249484693695</v>
      </c>
    </row>
    <row r="601" spans="14:16" x14ac:dyDescent="0.2">
      <c r="N601">
        <f t="shared" si="21"/>
        <v>600</v>
      </c>
      <c r="O601" s="63">
        <v>1.4554954643761995</v>
      </c>
      <c r="P601" s="62">
        <v>68.695478889109239</v>
      </c>
    </row>
    <row r="602" spans="14:16" x14ac:dyDescent="0.2">
      <c r="N602">
        <f t="shared" si="21"/>
        <v>601</v>
      </c>
      <c r="O602" s="63">
        <v>1.9108697686712883</v>
      </c>
      <c r="P602" s="62">
        <v>134.81395351007487</v>
      </c>
    </row>
    <row r="603" spans="14:16" x14ac:dyDescent="0.2">
      <c r="N603">
        <f t="shared" si="21"/>
        <v>602</v>
      </c>
      <c r="O603" s="63">
        <v>1.3521184394094004</v>
      </c>
      <c r="P603" s="62">
        <v>51.855078542895313</v>
      </c>
    </row>
    <row r="604" spans="14:16" x14ac:dyDescent="0.2">
      <c r="N604">
        <f t="shared" si="21"/>
        <v>603</v>
      </c>
      <c r="O604" s="63">
        <v>1.2962044108923918</v>
      </c>
      <c r="P604" s="62">
        <v>43.905056782615134</v>
      </c>
    </row>
    <row r="605" spans="14:16" x14ac:dyDescent="0.2">
      <c r="N605">
        <f t="shared" si="21"/>
        <v>604</v>
      </c>
      <c r="O605" s="63">
        <v>2.0576636186412052</v>
      </c>
      <c r="P605" s="62">
        <v>156.17740232900232</v>
      </c>
    </row>
    <row r="606" spans="14:16" x14ac:dyDescent="0.2">
      <c r="N606">
        <f t="shared" si="21"/>
        <v>605</v>
      </c>
      <c r="O606" s="63">
        <v>2.2207265956771041</v>
      </c>
      <c r="P606" s="62">
        <v>176.97032731793399</v>
      </c>
    </row>
    <row r="607" spans="14:16" x14ac:dyDescent="0.2">
      <c r="N607">
        <f t="shared" si="21"/>
        <v>606</v>
      </c>
      <c r="O607" s="63">
        <v>1.5166457806948157</v>
      </c>
      <c r="P607" s="62">
        <v>76.479385259728389</v>
      </c>
    </row>
    <row r="608" spans="14:16" x14ac:dyDescent="0.2">
      <c r="N608">
        <f t="shared" si="21"/>
        <v>607</v>
      </c>
      <c r="O608" s="63">
        <v>2.5377685620237433</v>
      </c>
      <c r="P608" s="62">
        <v>227.89665964419055</v>
      </c>
    </row>
    <row r="609" spans="14:16" x14ac:dyDescent="0.2">
      <c r="N609">
        <f t="shared" si="21"/>
        <v>608</v>
      </c>
      <c r="O609" s="63">
        <v>1.7211413917427936</v>
      </c>
      <c r="P609" s="62">
        <v>105.79604836553059</v>
      </c>
    </row>
    <row r="610" spans="14:16" x14ac:dyDescent="0.2">
      <c r="N610">
        <f t="shared" si="21"/>
        <v>609</v>
      </c>
      <c r="O610" s="63">
        <v>1.5521852124541173</v>
      </c>
      <c r="P610" s="62">
        <v>81.801648995896414</v>
      </c>
    </row>
    <row r="611" spans="14:16" x14ac:dyDescent="0.2">
      <c r="N611">
        <f t="shared" si="21"/>
        <v>610</v>
      </c>
      <c r="O611" s="63">
        <v>1.6895346690888557</v>
      </c>
      <c r="P611" s="62">
        <v>104.63903652150336</v>
      </c>
    </row>
    <row r="612" spans="14:16" x14ac:dyDescent="0.2">
      <c r="N612">
        <f t="shared" si="21"/>
        <v>611</v>
      </c>
      <c r="O612" s="63">
        <v>1.5240168660869635</v>
      </c>
      <c r="P612" s="62">
        <v>76.629473757425387</v>
      </c>
    </row>
    <row r="613" spans="14:16" x14ac:dyDescent="0.2">
      <c r="N613">
        <f t="shared" si="21"/>
        <v>612</v>
      </c>
      <c r="O613" s="63">
        <v>1.5251885054244969</v>
      </c>
      <c r="P613" s="62">
        <v>76.013200669278973</v>
      </c>
    </row>
    <row r="614" spans="14:16" x14ac:dyDescent="0.2">
      <c r="N614">
        <f t="shared" si="21"/>
        <v>613</v>
      </c>
      <c r="O614" s="63">
        <v>1.9322104862334795</v>
      </c>
      <c r="P614" s="62">
        <v>136.74091886839011</v>
      </c>
    </row>
    <row r="615" spans="14:16" x14ac:dyDescent="0.2">
      <c r="N615">
        <f t="shared" si="21"/>
        <v>614</v>
      </c>
      <c r="O615" s="63">
        <v>1.7443268682642885</v>
      </c>
      <c r="P615" s="62">
        <v>108.83482462795874</v>
      </c>
    </row>
    <row r="616" spans="14:16" x14ac:dyDescent="0.2">
      <c r="N616">
        <f t="shared" si="21"/>
        <v>615</v>
      </c>
      <c r="O616" s="63">
        <v>1.3212753495530629</v>
      </c>
      <c r="P616" s="62">
        <v>46.926914086974875</v>
      </c>
    </row>
    <row r="617" spans="14:16" x14ac:dyDescent="0.2">
      <c r="N617">
        <f t="shared" si="21"/>
        <v>616</v>
      </c>
      <c r="O617" s="63">
        <v>1.5083751524273044</v>
      </c>
      <c r="P617" s="62">
        <v>74.666885414597573</v>
      </c>
    </row>
    <row r="618" spans="14:16" x14ac:dyDescent="0.2">
      <c r="N618">
        <f t="shared" si="21"/>
        <v>617</v>
      </c>
      <c r="O618" s="63">
        <v>2.4721894009354743</v>
      </c>
      <c r="P618" s="62">
        <v>220.04322008814142</v>
      </c>
    </row>
    <row r="619" spans="14:16" x14ac:dyDescent="0.2">
      <c r="N619">
        <f t="shared" si="21"/>
        <v>618</v>
      </c>
      <c r="O619" s="63">
        <v>1.6717856082408151</v>
      </c>
      <c r="P619" s="62">
        <v>98.733118641131881</v>
      </c>
    </row>
    <row r="620" spans="14:16" x14ac:dyDescent="0.2">
      <c r="N620">
        <f t="shared" si="21"/>
        <v>619</v>
      </c>
      <c r="O620" s="63">
        <v>2.4324914170046479</v>
      </c>
      <c r="P620" s="62">
        <v>211.1643033910189</v>
      </c>
    </row>
    <row r="621" spans="14:16" x14ac:dyDescent="0.2">
      <c r="N621">
        <f t="shared" si="21"/>
        <v>620</v>
      </c>
      <c r="O621" s="63">
        <v>1.8210564336604202</v>
      </c>
      <c r="P621" s="62">
        <v>122.75204623321653</v>
      </c>
    </row>
    <row r="622" spans="14:16" x14ac:dyDescent="0.2">
      <c r="N622">
        <f t="shared" si="21"/>
        <v>621</v>
      </c>
      <c r="O622" s="63">
        <v>1.702563817905097</v>
      </c>
      <c r="P622" s="62">
        <v>100.88538952466223</v>
      </c>
    </row>
    <row r="623" spans="14:16" x14ac:dyDescent="0.2">
      <c r="N623">
        <f t="shared" si="21"/>
        <v>622</v>
      </c>
      <c r="O623" s="63">
        <v>1.573596391226268</v>
      </c>
      <c r="P623" s="62">
        <v>82.199200716679456</v>
      </c>
    </row>
    <row r="624" spans="14:16" x14ac:dyDescent="0.2">
      <c r="N624">
        <f t="shared" si="21"/>
        <v>623</v>
      </c>
      <c r="O624" s="63">
        <v>1.6507663149892524</v>
      </c>
      <c r="P624" s="62">
        <v>95.645986104983109</v>
      </c>
    </row>
    <row r="625" spans="14:16" x14ac:dyDescent="0.2">
      <c r="N625">
        <f t="shared" si="21"/>
        <v>624</v>
      </c>
      <c r="O625" s="63">
        <v>1.4858244692901241</v>
      </c>
      <c r="P625" s="62">
        <v>71.433998746992557</v>
      </c>
    </row>
    <row r="626" spans="14:16" x14ac:dyDescent="0.2">
      <c r="N626">
        <f t="shared" si="21"/>
        <v>625</v>
      </c>
      <c r="O626" s="63">
        <v>1.2608524160749957</v>
      </c>
      <c r="P626" s="62">
        <v>38.020523489574032</v>
      </c>
    </row>
    <row r="627" spans="14:16" x14ac:dyDescent="0.2">
      <c r="N627">
        <f t="shared" si="21"/>
        <v>626</v>
      </c>
      <c r="O627" s="63">
        <v>2.1377824185755347</v>
      </c>
      <c r="P627" s="62">
        <v>170.27898373693029</v>
      </c>
    </row>
    <row r="628" spans="14:16" x14ac:dyDescent="0.2">
      <c r="N628">
        <f t="shared" si="21"/>
        <v>627</v>
      </c>
      <c r="O628" s="63">
        <v>2.1430675171523861</v>
      </c>
      <c r="P628" s="62">
        <v>165.8193584496542</v>
      </c>
    </row>
    <row r="629" spans="14:16" x14ac:dyDescent="0.2">
      <c r="N629">
        <f t="shared" si="21"/>
        <v>628</v>
      </c>
      <c r="O629" s="63">
        <v>1.8099149554392571</v>
      </c>
      <c r="P629" s="62">
        <v>119.49658143352016</v>
      </c>
    </row>
    <row r="630" spans="14:16" x14ac:dyDescent="0.2">
      <c r="N630">
        <f t="shared" si="21"/>
        <v>629</v>
      </c>
      <c r="O630" s="63">
        <v>1.2610942567276455</v>
      </c>
      <c r="P630" s="62">
        <v>38.613272643926308</v>
      </c>
    </row>
    <row r="631" spans="14:16" x14ac:dyDescent="0.2">
      <c r="N631">
        <f t="shared" si="21"/>
        <v>630</v>
      </c>
      <c r="O631" s="63">
        <v>1.6278676720584271</v>
      </c>
      <c r="P631" s="62">
        <v>91.694724202658904</v>
      </c>
    </row>
    <row r="632" spans="14:16" x14ac:dyDescent="0.2">
      <c r="N632">
        <f t="shared" si="21"/>
        <v>631</v>
      </c>
      <c r="O632" s="63">
        <v>1.4227258295874832</v>
      </c>
      <c r="P632" s="62">
        <v>62.523186285862124</v>
      </c>
    </row>
    <row r="633" spans="14:16" x14ac:dyDescent="0.2">
      <c r="N633">
        <f t="shared" si="21"/>
        <v>632</v>
      </c>
      <c r="O633" s="63">
        <v>1.3063797909060813</v>
      </c>
      <c r="P633" s="62">
        <v>45.240391654157094</v>
      </c>
    </row>
    <row r="634" spans="14:16" x14ac:dyDescent="0.2">
      <c r="N634">
        <f t="shared" si="21"/>
        <v>633</v>
      </c>
      <c r="O634" s="63">
        <v>1.8844563245090005</v>
      </c>
      <c r="P634" s="62">
        <v>128.40425958992915</v>
      </c>
    </row>
    <row r="635" spans="14:16" x14ac:dyDescent="0.2">
      <c r="N635">
        <f t="shared" si="21"/>
        <v>634</v>
      </c>
      <c r="O635" s="63">
        <v>1.5252961929098676</v>
      </c>
      <c r="P635" s="62">
        <v>77.515986278790791</v>
      </c>
    </row>
    <row r="636" spans="14:16" x14ac:dyDescent="0.2">
      <c r="N636">
        <f t="shared" si="21"/>
        <v>635</v>
      </c>
      <c r="O636" s="63">
        <v>1.7992231541513968</v>
      </c>
      <c r="P636" s="62">
        <v>119.60583921092555</v>
      </c>
    </row>
    <row r="637" spans="14:16" x14ac:dyDescent="0.2">
      <c r="N637">
        <f t="shared" si="21"/>
        <v>636</v>
      </c>
      <c r="O637" s="63">
        <v>1.5108404765942625</v>
      </c>
      <c r="P637" s="62">
        <v>75.32767833744569</v>
      </c>
    </row>
    <row r="638" spans="14:16" x14ac:dyDescent="0.2">
      <c r="N638">
        <f t="shared" si="21"/>
        <v>637</v>
      </c>
      <c r="O638" s="63">
        <v>1.3901439670242799</v>
      </c>
      <c r="P638" s="62">
        <v>56.602529854804942</v>
      </c>
    </row>
    <row r="639" spans="14:16" x14ac:dyDescent="0.2">
      <c r="N639">
        <f t="shared" si="21"/>
        <v>638</v>
      </c>
      <c r="O639" s="63">
        <v>1.9490175338023379</v>
      </c>
      <c r="P639" s="62">
        <v>138.59562294788432</v>
      </c>
    </row>
    <row r="640" spans="14:16" x14ac:dyDescent="0.2">
      <c r="N640">
        <f t="shared" si="21"/>
        <v>639</v>
      </c>
      <c r="O640" s="63">
        <v>1.8118550507123452</v>
      </c>
      <c r="P640" s="62">
        <v>120.45338332767213</v>
      </c>
    </row>
    <row r="641" spans="14:16" x14ac:dyDescent="0.2">
      <c r="N641">
        <f t="shared" si="21"/>
        <v>640</v>
      </c>
      <c r="O641" s="63">
        <v>1.6540448230711273</v>
      </c>
      <c r="P641" s="62">
        <v>96.323799950083128</v>
      </c>
    </row>
    <row r="642" spans="14:16" x14ac:dyDescent="0.2">
      <c r="N642">
        <f t="shared" ref="N642:N705" si="22">ROW(N642)-1</f>
        <v>641</v>
      </c>
      <c r="O642" s="63">
        <v>1.5842305338303713</v>
      </c>
      <c r="P642" s="62">
        <v>83.315041423348106</v>
      </c>
    </row>
    <row r="643" spans="14:16" x14ac:dyDescent="0.2">
      <c r="N643">
        <f t="shared" si="22"/>
        <v>642</v>
      </c>
      <c r="O643" s="63">
        <v>2.1556155214048296</v>
      </c>
      <c r="P643" s="62">
        <v>165.7310062223556</v>
      </c>
    </row>
    <row r="644" spans="14:16" x14ac:dyDescent="0.2">
      <c r="N644">
        <f t="shared" si="22"/>
        <v>643</v>
      </c>
      <c r="O644" s="63">
        <v>1.2909922205318622</v>
      </c>
      <c r="P644" s="62">
        <v>42.325138790729994</v>
      </c>
    </row>
    <row r="645" spans="14:16" x14ac:dyDescent="0.2">
      <c r="N645">
        <f t="shared" si="22"/>
        <v>644</v>
      </c>
      <c r="O645" s="63">
        <v>1.6951856687812086</v>
      </c>
      <c r="P645" s="62">
        <v>103.09923608722715</v>
      </c>
    </row>
    <row r="646" spans="14:16" x14ac:dyDescent="0.2">
      <c r="N646">
        <f t="shared" si="22"/>
        <v>645</v>
      </c>
      <c r="O646" s="63">
        <v>1.4758840290848856</v>
      </c>
      <c r="P646" s="62">
        <v>70.265045061553167</v>
      </c>
    </row>
    <row r="647" spans="14:16" x14ac:dyDescent="0.2">
      <c r="N647">
        <f t="shared" si="22"/>
        <v>646</v>
      </c>
      <c r="O647" s="63">
        <v>1.7090648558438188</v>
      </c>
      <c r="P647" s="62">
        <v>104.35836753692007</v>
      </c>
    </row>
    <row r="648" spans="14:16" x14ac:dyDescent="0.2">
      <c r="N648">
        <f t="shared" si="22"/>
        <v>647</v>
      </c>
      <c r="O648" s="63">
        <v>1.5484487186635192</v>
      </c>
      <c r="P648" s="62">
        <v>79.960378712939104</v>
      </c>
    </row>
    <row r="649" spans="14:16" x14ac:dyDescent="0.2">
      <c r="N649">
        <f t="shared" si="22"/>
        <v>648</v>
      </c>
      <c r="O649" s="63">
        <v>1.6122784954039993</v>
      </c>
      <c r="P649" s="62">
        <v>87.251718505581977</v>
      </c>
    </row>
    <row r="650" spans="14:16" x14ac:dyDescent="0.2">
      <c r="N650">
        <f t="shared" si="22"/>
        <v>649</v>
      </c>
      <c r="O650" s="63">
        <v>1.0869479415461725</v>
      </c>
      <c r="P650" s="62">
        <v>12.965164927843574</v>
      </c>
    </row>
    <row r="651" spans="14:16" x14ac:dyDescent="0.2">
      <c r="N651">
        <f t="shared" si="22"/>
        <v>650</v>
      </c>
      <c r="O651" s="63">
        <v>1.4959258152462021</v>
      </c>
      <c r="P651" s="62">
        <v>72.077603749662615</v>
      </c>
    </row>
    <row r="652" spans="14:16" x14ac:dyDescent="0.2">
      <c r="N652">
        <f t="shared" si="22"/>
        <v>651</v>
      </c>
      <c r="O652" s="63">
        <v>2.4569193320497988</v>
      </c>
      <c r="P652" s="62">
        <v>218.62764455803304</v>
      </c>
    </row>
    <row r="653" spans="14:16" x14ac:dyDescent="0.2">
      <c r="N653">
        <f t="shared" si="22"/>
        <v>652</v>
      </c>
      <c r="O653" s="63">
        <v>1.5600894425267773</v>
      </c>
      <c r="P653" s="62">
        <v>80.755727712908481</v>
      </c>
    </row>
    <row r="654" spans="14:16" x14ac:dyDescent="0.2">
      <c r="N654">
        <f t="shared" si="22"/>
        <v>653</v>
      </c>
      <c r="O654" s="63">
        <v>2.4805494146365961</v>
      </c>
      <c r="P654" s="62">
        <v>212.56821724088388</v>
      </c>
    </row>
    <row r="655" spans="14:16" x14ac:dyDescent="0.2">
      <c r="N655">
        <f t="shared" si="22"/>
        <v>654</v>
      </c>
      <c r="O655" s="63">
        <v>1.7036552314111606</v>
      </c>
      <c r="P655" s="62">
        <v>104.00879256815639</v>
      </c>
    </row>
    <row r="656" spans="14:16" x14ac:dyDescent="0.2">
      <c r="N656">
        <f t="shared" si="22"/>
        <v>655</v>
      </c>
      <c r="O656" s="63">
        <v>1.3170578278617193</v>
      </c>
      <c r="P656" s="62">
        <v>46.78887332280317</v>
      </c>
    </row>
    <row r="657" spans="14:16" x14ac:dyDescent="0.2">
      <c r="N657">
        <f t="shared" si="22"/>
        <v>656</v>
      </c>
      <c r="O657" s="63">
        <v>2.0087337535504375</v>
      </c>
      <c r="P657" s="62">
        <v>146.30120636927037</v>
      </c>
    </row>
    <row r="658" spans="14:16" x14ac:dyDescent="0.2">
      <c r="N658">
        <f t="shared" si="22"/>
        <v>657</v>
      </c>
      <c r="O658" s="63">
        <v>1.6472505754712514</v>
      </c>
      <c r="P658" s="62">
        <v>94.542562825279447</v>
      </c>
    </row>
    <row r="659" spans="14:16" x14ac:dyDescent="0.2">
      <c r="N659">
        <f t="shared" si="22"/>
        <v>658</v>
      </c>
      <c r="O659" s="63">
        <v>1.5316127630305507</v>
      </c>
      <c r="P659" s="62">
        <v>78.547332600466234</v>
      </c>
    </row>
    <row r="660" spans="14:16" x14ac:dyDescent="0.2">
      <c r="N660">
        <f t="shared" si="22"/>
        <v>659</v>
      </c>
      <c r="O660" s="63">
        <v>1.5256492686691612</v>
      </c>
      <c r="P660" s="62">
        <v>77.74960157588032</v>
      </c>
    </row>
    <row r="661" spans="14:16" x14ac:dyDescent="0.2">
      <c r="N661">
        <f t="shared" si="22"/>
        <v>660</v>
      </c>
      <c r="O661" s="63">
        <v>1.4305375491966734</v>
      </c>
      <c r="P661" s="62">
        <v>64.529018991444644</v>
      </c>
    </row>
    <row r="662" spans="14:16" x14ac:dyDescent="0.2">
      <c r="N662">
        <f t="shared" si="22"/>
        <v>661</v>
      </c>
      <c r="O662" s="63">
        <v>1.9656080336512354</v>
      </c>
      <c r="P662" s="62">
        <v>142.58929036392124</v>
      </c>
    </row>
    <row r="663" spans="14:16" x14ac:dyDescent="0.2">
      <c r="N663">
        <f t="shared" si="22"/>
        <v>662</v>
      </c>
      <c r="O663" s="63">
        <v>1.8172997630594334</v>
      </c>
      <c r="P663" s="62">
        <v>119.24244272460757</v>
      </c>
    </row>
    <row r="664" spans="14:16" x14ac:dyDescent="0.2">
      <c r="N664">
        <f t="shared" si="22"/>
        <v>663</v>
      </c>
      <c r="O664" s="63">
        <v>1.6431585835372648</v>
      </c>
      <c r="P664" s="62">
        <v>94.33436556696887</v>
      </c>
    </row>
    <row r="665" spans="14:16" x14ac:dyDescent="0.2">
      <c r="N665">
        <f t="shared" si="22"/>
        <v>664</v>
      </c>
      <c r="O665" s="63">
        <v>1.2870899185958939</v>
      </c>
      <c r="P665" s="62">
        <v>42.997745286713894</v>
      </c>
    </row>
    <row r="666" spans="14:16" x14ac:dyDescent="0.2">
      <c r="N666">
        <f t="shared" si="22"/>
        <v>665</v>
      </c>
      <c r="O666" s="63">
        <v>1.9016977264337533</v>
      </c>
      <c r="P666" s="62">
        <v>132.03533094499841</v>
      </c>
    </row>
    <row r="667" spans="14:16" x14ac:dyDescent="0.2">
      <c r="N667">
        <f t="shared" si="22"/>
        <v>666</v>
      </c>
      <c r="O667" s="63">
        <v>1.7311797645639111</v>
      </c>
      <c r="P667" s="62">
        <v>106.77155971167801</v>
      </c>
    </row>
    <row r="668" spans="14:16" x14ac:dyDescent="0.2">
      <c r="N668">
        <f t="shared" si="22"/>
        <v>667</v>
      </c>
      <c r="O668" s="63">
        <v>1.9087261529651305</v>
      </c>
      <c r="P668" s="62">
        <v>132.8513927592812</v>
      </c>
    </row>
    <row r="669" spans="14:16" x14ac:dyDescent="0.2">
      <c r="N669">
        <f t="shared" si="22"/>
        <v>668</v>
      </c>
      <c r="O669" s="63">
        <v>1.673821225779299</v>
      </c>
      <c r="P669" s="62">
        <v>100.71181799518058</v>
      </c>
    </row>
    <row r="670" spans="14:16" x14ac:dyDescent="0.2">
      <c r="N670">
        <f t="shared" si="22"/>
        <v>669</v>
      </c>
      <c r="O670" s="63">
        <v>1.5459471193628367</v>
      </c>
      <c r="P670" s="62">
        <v>79.967092176143524</v>
      </c>
    </row>
    <row r="671" spans="14:16" x14ac:dyDescent="0.2">
      <c r="N671">
        <f t="shared" si="22"/>
        <v>670</v>
      </c>
      <c r="O671" s="63">
        <v>1.3961752366566309</v>
      </c>
      <c r="P671" s="62">
        <v>57.073460979994707</v>
      </c>
    </row>
    <row r="672" spans="14:16" x14ac:dyDescent="0.2">
      <c r="N672">
        <f t="shared" si="22"/>
        <v>671</v>
      </c>
      <c r="O672" s="63">
        <v>1.0713465655278691</v>
      </c>
      <c r="P672" s="62">
        <v>10.39144957315321</v>
      </c>
    </row>
    <row r="673" spans="14:16" x14ac:dyDescent="0.2">
      <c r="N673">
        <f t="shared" si="22"/>
        <v>672</v>
      </c>
      <c r="O673" s="63">
        <v>1.9764369572229572</v>
      </c>
      <c r="P673" s="62">
        <v>144.91955758815647</v>
      </c>
    </row>
    <row r="674" spans="14:16" x14ac:dyDescent="0.2">
      <c r="N674">
        <f t="shared" si="22"/>
        <v>673</v>
      </c>
      <c r="O674" s="63">
        <v>1.6988865646277114</v>
      </c>
      <c r="P674" s="62">
        <v>103.44269331411851</v>
      </c>
    </row>
    <row r="675" spans="14:16" x14ac:dyDescent="0.2">
      <c r="N675">
        <f t="shared" si="22"/>
        <v>674</v>
      </c>
      <c r="O675" s="63">
        <v>1.8276511914394828</v>
      </c>
      <c r="P675" s="62">
        <v>120.79534321076807</v>
      </c>
    </row>
    <row r="676" spans="14:16" x14ac:dyDescent="0.2">
      <c r="N676">
        <f t="shared" si="22"/>
        <v>675</v>
      </c>
      <c r="O676" s="63">
        <v>1.6215044796866238</v>
      </c>
      <c r="P676" s="62">
        <v>92.474748289590451</v>
      </c>
    </row>
    <row r="677" spans="14:16" x14ac:dyDescent="0.2">
      <c r="N677">
        <f t="shared" si="22"/>
        <v>676</v>
      </c>
      <c r="O677" s="63">
        <v>1.8834146616695506</v>
      </c>
      <c r="P677" s="62">
        <v>128.00057176786228</v>
      </c>
    </row>
    <row r="678" spans="14:16" x14ac:dyDescent="0.2">
      <c r="N678">
        <f t="shared" si="22"/>
        <v>677</v>
      </c>
      <c r="O678" s="63">
        <v>1.7035422346884559</v>
      </c>
      <c r="P678" s="62">
        <v>104.17058057185383</v>
      </c>
    </row>
    <row r="679" spans="14:16" x14ac:dyDescent="0.2">
      <c r="N679">
        <f t="shared" si="22"/>
        <v>678</v>
      </c>
      <c r="O679" s="63">
        <v>1.2308854046832234</v>
      </c>
      <c r="P679" s="62">
        <v>34.278440384616403</v>
      </c>
    </row>
    <row r="680" spans="14:16" x14ac:dyDescent="0.2">
      <c r="N680">
        <f t="shared" si="22"/>
        <v>679</v>
      </c>
      <c r="O680" s="63">
        <v>1.5309660305902317</v>
      </c>
      <c r="P680" s="62">
        <v>78.854654450254827</v>
      </c>
    </row>
    <row r="681" spans="14:16" x14ac:dyDescent="0.2">
      <c r="N681">
        <f t="shared" si="22"/>
        <v>680</v>
      </c>
      <c r="O681" s="63">
        <v>2.1591334095222865</v>
      </c>
      <c r="P681" s="62">
        <v>173.55488340307937</v>
      </c>
    </row>
    <row r="682" spans="14:16" x14ac:dyDescent="0.2">
      <c r="N682">
        <f t="shared" si="22"/>
        <v>681</v>
      </c>
      <c r="O682" s="63">
        <v>1.9501798386179532</v>
      </c>
      <c r="P682" s="62">
        <v>137.93231538264385</v>
      </c>
    </row>
    <row r="683" spans="14:16" x14ac:dyDescent="0.2">
      <c r="N683">
        <f t="shared" si="22"/>
        <v>682</v>
      </c>
      <c r="O683" s="63">
        <v>1.7772502715355387</v>
      </c>
      <c r="P683" s="62">
        <v>114.26182911162525</v>
      </c>
    </row>
    <row r="684" spans="14:16" x14ac:dyDescent="0.2">
      <c r="N684">
        <f t="shared" si="22"/>
        <v>683</v>
      </c>
      <c r="O684" s="63">
        <v>1.9810429989247325</v>
      </c>
      <c r="P684" s="62">
        <v>146.06324156996635</v>
      </c>
    </row>
    <row r="685" spans="14:16" x14ac:dyDescent="0.2">
      <c r="N685">
        <f t="shared" si="22"/>
        <v>684</v>
      </c>
      <c r="O685" s="63">
        <v>2.6979701711681274</v>
      </c>
      <c r="P685" s="62">
        <v>252.66539215018994</v>
      </c>
    </row>
    <row r="686" spans="14:16" x14ac:dyDescent="0.2">
      <c r="N686">
        <f t="shared" si="22"/>
        <v>685</v>
      </c>
      <c r="O686" s="63">
        <v>1.9694694957351451</v>
      </c>
      <c r="P686" s="62">
        <v>140.27320805516629</v>
      </c>
    </row>
    <row r="687" spans="14:16" x14ac:dyDescent="0.2">
      <c r="N687">
        <f t="shared" si="22"/>
        <v>686</v>
      </c>
      <c r="O687" s="63">
        <v>1.7593697267866053</v>
      </c>
      <c r="P687" s="62">
        <v>109.45354164985923</v>
      </c>
    </row>
    <row r="688" spans="14:16" x14ac:dyDescent="0.2">
      <c r="N688">
        <f t="shared" si="22"/>
        <v>687</v>
      </c>
      <c r="O688" s="63">
        <v>1.8815698524119895</v>
      </c>
      <c r="P688" s="62">
        <v>128.67626657543653</v>
      </c>
    </row>
    <row r="689" spans="14:16" x14ac:dyDescent="0.2">
      <c r="N689">
        <f t="shared" si="22"/>
        <v>688</v>
      </c>
      <c r="O689" s="63">
        <v>1.6510764267728724</v>
      </c>
      <c r="P689" s="62">
        <v>95.986801577295978</v>
      </c>
    </row>
    <row r="690" spans="14:16" x14ac:dyDescent="0.2">
      <c r="N690">
        <f t="shared" si="22"/>
        <v>689</v>
      </c>
      <c r="O690" s="63">
        <v>1.427683380121874</v>
      </c>
      <c r="P690" s="62">
        <v>63.303036299454163</v>
      </c>
    </row>
    <row r="691" spans="14:16" x14ac:dyDescent="0.2">
      <c r="N691">
        <f t="shared" si="22"/>
        <v>690</v>
      </c>
      <c r="O691" s="63">
        <v>2.1672218976292426</v>
      </c>
      <c r="P691" s="62">
        <v>171.26388690149048</v>
      </c>
    </row>
    <row r="692" spans="14:16" x14ac:dyDescent="0.2">
      <c r="N692">
        <f t="shared" si="22"/>
        <v>691</v>
      </c>
      <c r="O692" s="63">
        <v>1.5852917143776257</v>
      </c>
      <c r="P692" s="62">
        <v>86.339635205829921</v>
      </c>
    </row>
    <row r="693" spans="14:16" x14ac:dyDescent="0.2">
      <c r="N693">
        <f t="shared" si="22"/>
        <v>692</v>
      </c>
      <c r="O693" s="63">
        <v>1.9898033670695208</v>
      </c>
      <c r="P693" s="62">
        <v>145.44522616406496</v>
      </c>
    </row>
    <row r="694" spans="14:16" x14ac:dyDescent="0.2">
      <c r="N694">
        <f t="shared" si="22"/>
        <v>693</v>
      </c>
      <c r="O694" s="63">
        <v>1.4650713546237586</v>
      </c>
      <c r="P694" s="62">
        <v>70.119394023225993</v>
      </c>
    </row>
    <row r="695" spans="14:16" x14ac:dyDescent="0.2">
      <c r="N695">
        <f t="shared" si="22"/>
        <v>694</v>
      </c>
      <c r="O695" s="63">
        <v>1.805379935436368</v>
      </c>
      <c r="P695" s="62">
        <v>116.12377939044444</v>
      </c>
    </row>
    <row r="696" spans="14:16" x14ac:dyDescent="0.2">
      <c r="N696">
        <f t="shared" si="22"/>
        <v>695</v>
      </c>
      <c r="O696" s="63">
        <v>1.4876936726909513</v>
      </c>
      <c r="P696" s="62">
        <v>73.502313218835695</v>
      </c>
    </row>
    <row r="697" spans="14:16" x14ac:dyDescent="0.2">
      <c r="N697">
        <f t="shared" si="22"/>
        <v>696</v>
      </c>
      <c r="O697" s="63">
        <v>1.1489012597385393</v>
      </c>
      <c r="P697" s="62">
        <v>21.828478649382674</v>
      </c>
    </row>
    <row r="698" spans="14:16" x14ac:dyDescent="0.2">
      <c r="N698">
        <f t="shared" si="22"/>
        <v>697</v>
      </c>
      <c r="O698" s="63">
        <v>1.220634913330344</v>
      </c>
      <c r="P698" s="62">
        <v>32.090250242755673</v>
      </c>
    </row>
    <row r="699" spans="14:16" x14ac:dyDescent="0.2">
      <c r="N699">
        <f t="shared" si="22"/>
        <v>698</v>
      </c>
      <c r="O699" s="63">
        <v>1.7708034893321183</v>
      </c>
      <c r="P699" s="62">
        <v>112.74335395534715</v>
      </c>
    </row>
    <row r="700" spans="14:16" x14ac:dyDescent="0.2">
      <c r="N700">
        <f t="shared" si="22"/>
        <v>699</v>
      </c>
      <c r="O700" s="63">
        <v>1.9946795997515614</v>
      </c>
      <c r="P700" s="62">
        <v>147.92204831917346</v>
      </c>
    </row>
    <row r="701" spans="14:16" x14ac:dyDescent="0.2">
      <c r="N701">
        <f t="shared" si="22"/>
        <v>700</v>
      </c>
      <c r="O701" s="63">
        <v>1.1181006898692083</v>
      </c>
      <c r="P701" s="62">
        <v>17.221509792479424</v>
      </c>
    </row>
    <row r="702" spans="14:16" x14ac:dyDescent="0.2">
      <c r="N702">
        <f t="shared" si="22"/>
        <v>701</v>
      </c>
      <c r="O702" s="63">
        <v>1.6265400901779401</v>
      </c>
      <c r="P702" s="62">
        <v>91.740773097279657</v>
      </c>
    </row>
    <row r="703" spans="14:16" x14ac:dyDescent="0.2">
      <c r="N703">
        <f t="shared" si="22"/>
        <v>702</v>
      </c>
      <c r="O703" s="63">
        <v>1.6535393923154023</v>
      </c>
      <c r="P703" s="62">
        <v>96.754420027950914</v>
      </c>
    </row>
    <row r="704" spans="14:16" x14ac:dyDescent="0.2">
      <c r="N704">
        <f t="shared" si="22"/>
        <v>703</v>
      </c>
      <c r="O704" s="63">
        <v>1.3513910399200479</v>
      </c>
      <c r="P704" s="62">
        <v>51.68695744002261</v>
      </c>
    </row>
    <row r="705" spans="14:16" x14ac:dyDescent="0.2">
      <c r="N705">
        <f t="shared" si="22"/>
        <v>704</v>
      </c>
      <c r="O705" s="63">
        <v>2.4557223033487627</v>
      </c>
      <c r="P705" s="62">
        <v>216.67697570319189</v>
      </c>
    </row>
    <row r="706" spans="14:16" x14ac:dyDescent="0.2">
      <c r="N706">
        <f t="shared" ref="N706:N769" si="23">ROW(N706)-1</f>
        <v>705</v>
      </c>
      <c r="O706" s="63">
        <v>1.3213815345627029</v>
      </c>
      <c r="P706" s="62">
        <v>47.675965700408426</v>
      </c>
    </row>
    <row r="707" spans="14:16" x14ac:dyDescent="0.2">
      <c r="N707">
        <f t="shared" si="23"/>
        <v>706</v>
      </c>
      <c r="O707" s="63">
        <v>2.555546884632093</v>
      </c>
      <c r="P707" s="62">
        <v>223.8156429311569</v>
      </c>
    </row>
    <row r="708" spans="14:16" x14ac:dyDescent="0.2">
      <c r="N708">
        <f t="shared" si="23"/>
        <v>707</v>
      </c>
      <c r="O708" s="63">
        <v>2.3929982695396896</v>
      </c>
      <c r="P708" s="62">
        <v>207.30173178089561</v>
      </c>
    </row>
    <row r="709" spans="14:16" x14ac:dyDescent="0.2">
      <c r="N709">
        <f t="shared" si="23"/>
        <v>708</v>
      </c>
      <c r="O709" s="63">
        <v>1.8387874640717901</v>
      </c>
      <c r="P709" s="62">
        <v>122.91697473616034</v>
      </c>
    </row>
    <row r="710" spans="14:16" x14ac:dyDescent="0.2">
      <c r="N710">
        <f t="shared" si="23"/>
        <v>709</v>
      </c>
      <c r="O710" s="63">
        <v>1.6864479629697744</v>
      </c>
      <c r="P710" s="62">
        <v>99.084528632555049</v>
      </c>
    </row>
    <row r="711" spans="14:16" x14ac:dyDescent="0.2">
      <c r="N711">
        <f t="shared" si="23"/>
        <v>710</v>
      </c>
      <c r="O711" s="63">
        <v>1.5755899501868367</v>
      </c>
      <c r="P711" s="62">
        <v>86.114857701695172</v>
      </c>
    </row>
    <row r="712" spans="14:16" x14ac:dyDescent="0.2">
      <c r="N712">
        <f t="shared" si="23"/>
        <v>711</v>
      </c>
      <c r="O712" s="63">
        <v>1.5105372450524601</v>
      </c>
      <c r="P712" s="62">
        <v>76.199949453130813</v>
      </c>
    </row>
    <row r="713" spans="14:16" x14ac:dyDescent="0.2">
      <c r="N713">
        <f t="shared" si="23"/>
        <v>712</v>
      </c>
      <c r="O713" s="63">
        <v>1.8096984293809397</v>
      </c>
      <c r="P713" s="62">
        <v>117.62788690120604</v>
      </c>
    </row>
    <row r="714" spans="14:16" x14ac:dyDescent="0.2">
      <c r="N714">
        <f t="shared" si="23"/>
        <v>713</v>
      </c>
      <c r="O714" s="63">
        <v>1.6833461682360453</v>
      </c>
      <c r="P714" s="62">
        <v>100.57239484011612</v>
      </c>
    </row>
    <row r="715" spans="14:16" x14ac:dyDescent="0.2">
      <c r="N715">
        <f t="shared" si="23"/>
        <v>714</v>
      </c>
      <c r="O715" s="63">
        <v>1.6563635873472933</v>
      </c>
      <c r="P715" s="62">
        <v>96.362124902789645</v>
      </c>
    </row>
    <row r="716" spans="14:16" x14ac:dyDescent="0.2">
      <c r="N716">
        <f t="shared" si="23"/>
        <v>715</v>
      </c>
      <c r="O716" s="63">
        <v>1.487561412051932</v>
      </c>
      <c r="P716" s="62">
        <v>72.75272276758227</v>
      </c>
    </row>
    <row r="717" spans="14:16" x14ac:dyDescent="0.2">
      <c r="N717">
        <f t="shared" si="23"/>
        <v>716</v>
      </c>
      <c r="O717" s="63">
        <v>1.2764548639995923</v>
      </c>
      <c r="P717" s="62">
        <v>40.707462391043066</v>
      </c>
    </row>
    <row r="718" spans="14:16" x14ac:dyDescent="0.2">
      <c r="N718">
        <f t="shared" si="23"/>
        <v>717</v>
      </c>
      <c r="O718" s="63">
        <v>1.6869689118190172</v>
      </c>
      <c r="P718" s="62">
        <v>100.65768379235899</v>
      </c>
    </row>
    <row r="719" spans="14:16" x14ac:dyDescent="0.2">
      <c r="N719">
        <f t="shared" si="23"/>
        <v>718</v>
      </c>
      <c r="O719" s="63">
        <v>1.5313086888251304</v>
      </c>
      <c r="P719" s="62">
        <v>78.920532798232898</v>
      </c>
    </row>
    <row r="720" spans="14:16" x14ac:dyDescent="0.2">
      <c r="N720">
        <f t="shared" si="23"/>
        <v>719</v>
      </c>
      <c r="O720" s="63">
        <v>1.4418794445481762</v>
      </c>
      <c r="P720" s="62">
        <v>65.104274542427419</v>
      </c>
    </row>
    <row r="721" spans="14:16" x14ac:dyDescent="0.2">
      <c r="N721">
        <f t="shared" si="23"/>
        <v>720</v>
      </c>
      <c r="O721" s="63">
        <v>1.7737617328373148</v>
      </c>
      <c r="P721" s="62">
        <v>114.24724988034828</v>
      </c>
    </row>
    <row r="722" spans="14:16" x14ac:dyDescent="0.2">
      <c r="N722">
        <f t="shared" si="23"/>
        <v>721</v>
      </c>
      <c r="O722" s="63">
        <v>1.7512014521075425</v>
      </c>
      <c r="P722" s="62">
        <v>109.19691623338005</v>
      </c>
    </row>
    <row r="723" spans="14:16" x14ac:dyDescent="0.2">
      <c r="N723">
        <f t="shared" si="23"/>
        <v>722</v>
      </c>
      <c r="O723" s="63">
        <v>2.0675536656462765</v>
      </c>
      <c r="P723" s="62">
        <v>155.91613034176368</v>
      </c>
    </row>
    <row r="724" spans="14:16" x14ac:dyDescent="0.2">
      <c r="N724">
        <f t="shared" si="23"/>
        <v>723</v>
      </c>
      <c r="O724" s="63">
        <v>1.7443923465122297</v>
      </c>
      <c r="P724" s="62">
        <v>109.56384880645658</v>
      </c>
    </row>
    <row r="725" spans="14:16" x14ac:dyDescent="0.2">
      <c r="N725">
        <f t="shared" si="23"/>
        <v>724</v>
      </c>
      <c r="O725" s="63">
        <v>1.4057881552053628</v>
      </c>
      <c r="P725" s="62">
        <v>61.155630439779173</v>
      </c>
    </row>
    <row r="726" spans="14:16" x14ac:dyDescent="0.2">
      <c r="N726">
        <f t="shared" si="23"/>
        <v>725</v>
      </c>
      <c r="O726" s="63">
        <v>1.3755689473891384</v>
      </c>
      <c r="P726" s="62">
        <v>55.239705909383559</v>
      </c>
    </row>
    <row r="727" spans="14:16" x14ac:dyDescent="0.2">
      <c r="N727">
        <f t="shared" si="23"/>
        <v>726</v>
      </c>
      <c r="O727" s="63">
        <v>1.8984206376629686</v>
      </c>
      <c r="P727" s="62">
        <v>131.34617601363874</v>
      </c>
    </row>
    <row r="728" spans="14:16" x14ac:dyDescent="0.2">
      <c r="N728">
        <f t="shared" si="23"/>
        <v>727</v>
      </c>
      <c r="O728" s="63">
        <v>1.7080570897660581</v>
      </c>
      <c r="P728" s="62">
        <v>105.01143178585355</v>
      </c>
    </row>
    <row r="729" spans="14:16" x14ac:dyDescent="0.2">
      <c r="N729">
        <f t="shared" si="23"/>
        <v>728</v>
      </c>
      <c r="O729" s="63">
        <v>2.0267709167435695</v>
      </c>
      <c r="P729" s="62">
        <v>148.96571694234845</v>
      </c>
    </row>
    <row r="730" spans="14:16" x14ac:dyDescent="0.2">
      <c r="N730">
        <f t="shared" si="23"/>
        <v>729</v>
      </c>
      <c r="O730" s="63">
        <v>2.1895840105843818</v>
      </c>
      <c r="P730" s="62">
        <v>176.53384646520266</v>
      </c>
    </row>
    <row r="731" spans="14:16" x14ac:dyDescent="0.2">
      <c r="N731">
        <f t="shared" si="23"/>
        <v>730</v>
      </c>
      <c r="O731" s="63">
        <v>1.3196046744481917</v>
      </c>
      <c r="P731" s="62">
        <v>46.671148021085145</v>
      </c>
    </row>
    <row r="732" spans="14:16" x14ac:dyDescent="0.2">
      <c r="N732">
        <f t="shared" si="23"/>
        <v>731</v>
      </c>
      <c r="O732" s="63">
        <v>1.5848241324620229</v>
      </c>
      <c r="P732" s="62">
        <v>85.619961035785536</v>
      </c>
    </row>
    <row r="733" spans="14:16" x14ac:dyDescent="0.2">
      <c r="N733">
        <f t="shared" si="23"/>
        <v>732</v>
      </c>
      <c r="O733" s="63">
        <v>2.8536870086431669</v>
      </c>
      <c r="P733" s="62">
        <v>270.84959898828208</v>
      </c>
    </row>
    <row r="734" spans="14:16" x14ac:dyDescent="0.2">
      <c r="N734">
        <f t="shared" si="23"/>
        <v>733</v>
      </c>
      <c r="O734" s="63">
        <v>1.6540828775842615</v>
      </c>
      <c r="P734" s="62">
        <v>96.591669135254023</v>
      </c>
    </row>
    <row r="735" spans="14:16" x14ac:dyDescent="0.2">
      <c r="N735">
        <f t="shared" si="23"/>
        <v>734</v>
      </c>
      <c r="O735" s="63">
        <v>1.8761326346792868</v>
      </c>
      <c r="P735" s="62">
        <v>131.0708124921338</v>
      </c>
    </row>
    <row r="736" spans="14:16" x14ac:dyDescent="0.2">
      <c r="N736">
        <f t="shared" si="23"/>
        <v>735</v>
      </c>
      <c r="O736" s="63">
        <v>1.5191507118183705</v>
      </c>
      <c r="P736" s="62">
        <v>75.299539036508747</v>
      </c>
    </row>
    <row r="737" spans="14:16" x14ac:dyDescent="0.2">
      <c r="N737">
        <f t="shared" si="23"/>
        <v>736</v>
      </c>
      <c r="O737" s="63">
        <v>1.270232117497744</v>
      </c>
      <c r="P737" s="62">
        <v>40.067965320367023</v>
      </c>
    </row>
    <row r="738" spans="14:16" x14ac:dyDescent="0.2">
      <c r="N738">
        <f t="shared" si="23"/>
        <v>737</v>
      </c>
      <c r="O738" s="63">
        <v>1.9766760135640826</v>
      </c>
      <c r="P738" s="62">
        <v>145.46087175735724</v>
      </c>
    </row>
    <row r="739" spans="14:16" x14ac:dyDescent="0.2">
      <c r="N739">
        <f t="shared" si="23"/>
        <v>738</v>
      </c>
      <c r="O739" s="63">
        <v>2.0418676802837266</v>
      </c>
      <c r="P739" s="62">
        <v>155.9754793061895</v>
      </c>
    </row>
    <row r="740" spans="14:16" x14ac:dyDescent="0.2">
      <c r="N740">
        <f t="shared" si="23"/>
        <v>739</v>
      </c>
      <c r="O740" s="63">
        <v>1.6972389638540681</v>
      </c>
      <c r="P740" s="62">
        <v>103.44183034845523</v>
      </c>
    </row>
    <row r="741" spans="14:16" x14ac:dyDescent="0.2">
      <c r="N741">
        <f t="shared" si="23"/>
        <v>740</v>
      </c>
      <c r="O741" s="63">
        <v>1.5443553433179558</v>
      </c>
      <c r="P741" s="62">
        <v>80.329422960126976</v>
      </c>
    </row>
    <row r="742" spans="14:16" x14ac:dyDescent="0.2">
      <c r="N742">
        <f t="shared" si="23"/>
        <v>741</v>
      </c>
      <c r="O742" s="63">
        <v>2.0651523554954712</v>
      </c>
      <c r="P742" s="62">
        <v>159.57525696352889</v>
      </c>
    </row>
    <row r="743" spans="14:16" x14ac:dyDescent="0.2">
      <c r="N743">
        <f t="shared" si="23"/>
        <v>742</v>
      </c>
      <c r="O743" s="63">
        <v>2.1558642700028128</v>
      </c>
      <c r="P743" s="62">
        <v>169.31007824638411</v>
      </c>
    </row>
    <row r="744" spans="14:16" x14ac:dyDescent="0.2">
      <c r="N744">
        <f t="shared" si="23"/>
        <v>743</v>
      </c>
      <c r="O744" s="63">
        <v>1.59072858505772</v>
      </c>
      <c r="P744" s="62">
        <v>87.824152052706978</v>
      </c>
    </row>
    <row r="745" spans="14:16" x14ac:dyDescent="0.2">
      <c r="N745">
        <f t="shared" si="23"/>
        <v>744</v>
      </c>
      <c r="O745" s="63">
        <v>1.2848100632874428</v>
      </c>
      <c r="P745" s="62">
        <v>41.703120129339624</v>
      </c>
    </row>
    <row r="746" spans="14:16" x14ac:dyDescent="0.2">
      <c r="N746">
        <f t="shared" si="23"/>
        <v>745</v>
      </c>
      <c r="O746" s="63">
        <v>1.1881097883505916</v>
      </c>
      <c r="P746" s="62">
        <v>27.351494269790123</v>
      </c>
    </row>
    <row r="747" spans="14:16" x14ac:dyDescent="0.2">
      <c r="N747">
        <f t="shared" si="23"/>
        <v>746</v>
      </c>
      <c r="O747" s="63">
        <v>1.294697001987831</v>
      </c>
      <c r="P747" s="62">
        <v>42.734535254331234</v>
      </c>
    </row>
    <row r="748" spans="14:16" x14ac:dyDescent="0.2">
      <c r="N748">
        <f t="shared" si="23"/>
        <v>747</v>
      </c>
      <c r="O748" s="63">
        <v>1.7758261814311913</v>
      </c>
      <c r="P748" s="62">
        <v>114.46571187270541</v>
      </c>
    </row>
    <row r="749" spans="14:16" x14ac:dyDescent="0.2">
      <c r="N749">
        <f t="shared" si="23"/>
        <v>748</v>
      </c>
      <c r="O749" s="63">
        <v>1.2579522475549123</v>
      </c>
      <c r="P749" s="62">
        <v>38.079347275200263</v>
      </c>
    </row>
    <row r="750" spans="14:16" x14ac:dyDescent="0.2">
      <c r="N750">
        <f t="shared" si="23"/>
        <v>749</v>
      </c>
      <c r="O750" s="63">
        <v>1.5696193935438545</v>
      </c>
      <c r="P750" s="62">
        <v>82.483382884264728</v>
      </c>
    </row>
    <row r="751" spans="14:16" x14ac:dyDescent="0.2">
      <c r="N751">
        <f t="shared" si="23"/>
        <v>750</v>
      </c>
      <c r="O751" s="63">
        <v>1.4474156604965767</v>
      </c>
      <c r="P751" s="62">
        <v>67.419534008325485</v>
      </c>
    </row>
    <row r="752" spans="14:16" x14ac:dyDescent="0.2">
      <c r="N752">
        <f t="shared" si="23"/>
        <v>751</v>
      </c>
      <c r="O752" s="63">
        <v>1.9076400365271398</v>
      </c>
      <c r="P752" s="62">
        <v>135.30235012339307</v>
      </c>
    </row>
    <row r="753" spans="14:16" x14ac:dyDescent="0.2">
      <c r="N753">
        <f t="shared" si="23"/>
        <v>752</v>
      </c>
      <c r="O753" s="63">
        <v>2.2568358457794253</v>
      </c>
      <c r="P753" s="62">
        <v>183.27373248113003</v>
      </c>
    </row>
    <row r="754" spans="14:16" x14ac:dyDescent="0.2">
      <c r="N754">
        <f t="shared" si="23"/>
        <v>753</v>
      </c>
      <c r="O754" s="63">
        <v>2.0195557243632245</v>
      </c>
      <c r="P754" s="62">
        <v>152.7653849669785</v>
      </c>
    </row>
    <row r="755" spans="14:16" x14ac:dyDescent="0.2">
      <c r="N755">
        <f t="shared" si="23"/>
        <v>754</v>
      </c>
      <c r="O755" s="63">
        <v>1.3939199428354883</v>
      </c>
      <c r="P755" s="62">
        <v>59.069954755563714</v>
      </c>
    </row>
    <row r="756" spans="14:16" x14ac:dyDescent="0.2">
      <c r="N756">
        <f t="shared" si="23"/>
        <v>755</v>
      </c>
      <c r="O756" s="63">
        <v>1.851030602423489</v>
      </c>
      <c r="P756" s="62">
        <v>125.46895962810973</v>
      </c>
    </row>
    <row r="757" spans="14:16" x14ac:dyDescent="0.2">
      <c r="N757">
        <f t="shared" si="23"/>
        <v>756</v>
      </c>
      <c r="O757" s="63">
        <v>1.0571290574074148</v>
      </c>
      <c r="P757" s="62">
        <v>8.4217336448253945</v>
      </c>
    </row>
    <row r="758" spans="14:16" x14ac:dyDescent="0.2">
      <c r="N758">
        <f t="shared" si="23"/>
        <v>757</v>
      </c>
      <c r="O758" s="63">
        <v>2.2203982863165166</v>
      </c>
      <c r="P758" s="62">
        <v>177.48320309771523</v>
      </c>
    </row>
    <row r="759" spans="14:16" x14ac:dyDescent="0.2">
      <c r="N759">
        <f t="shared" si="23"/>
        <v>758</v>
      </c>
      <c r="O759" s="63">
        <v>1.958345203927145</v>
      </c>
      <c r="P759" s="62">
        <v>141.7974950176166</v>
      </c>
    </row>
    <row r="760" spans="14:16" x14ac:dyDescent="0.2">
      <c r="N760">
        <f t="shared" si="23"/>
        <v>759</v>
      </c>
      <c r="O760" s="63">
        <v>1.4802159565553703</v>
      </c>
      <c r="P760" s="62">
        <v>70.898993283028631</v>
      </c>
    </row>
    <row r="761" spans="14:16" x14ac:dyDescent="0.2">
      <c r="N761">
        <f t="shared" si="23"/>
        <v>760</v>
      </c>
      <c r="O761" s="63">
        <v>1.3575482007588708</v>
      </c>
      <c r="P761" s="62">
        <v>51.803517070389233</v>
      </c>
    </row>
    <row r="762" spans="14:16" x14ac:dyDescent="0.2">
      <c r="N762">
        <f t="shared" si="23"/>
        <v>761</v>
      </c>
      <c r="O762" s="63">
        <v>1.5861121837205812</v>
      </c>
      <c r="P762" s="62">
        <v>85.819442513615769</v>
      </c>
    </row>
    <row r="763" spans="14:16" x14ac:dyDescent="0.2">
      <c r="N763">
        <f t="shared" si="23"/>
        <v>762</v>
      </c>
      <c r="O763" s="63">
        <v>1.3324230277334759</v>
      </c>
      <c r="P763" s="62">
        <v>49.046268155152632</v>
      </c>
    </row>
    <row r="764" spans="14:16" x14ac:dyDescent="0.2">
      <c r="N764">
        <f t="shared" si="23"/>
        <v>763</v>
      </c>
      <c r="O764" s="63">
        <v>1.8505963409508801</v>
      </c>
      <c r="P764" s="62">
        <v>122.17808087196758</v>
      </c>
    </row>
    <row r="765" spans="14:16" x14ac:dyDescent="0.2">
      <c r="N765">
        <f t="shared" si="23"/>
        <v>764</v>
      </c>
      <c r="O765" s="63">
        <v>2.2379943141195757</v>
      </c>
      <c r="P765" s="62">
        <v>183.57016774272816</v>
      </c>
    </row>
    <row r="766" spans="14:16" x14ac:dyDescent="0.2">
      <c r="N766">
        <f t="shared" si="23"/>
        <v>765</v>
      </c>
      <c r="O766" s="63">
        <v>1.6248782343878212</v>
      </c>
      <c r="P766" s="62">
        <v>90.659301549031142</v>
      </c>
    </row>
    <row r="767" spans="14:16" x14ac:dyDescent="0.2">
      <c r="N767">
        <f t="shared" si="23"/>
        <v>766</v>
      </c>
      <c r="O767" s="63">
        <v>1.3388781909889476</v>
      </c>
      <c r="P767" s="62">
        <v>50.957890192420848</v>
      </c>
    </row>
    <row r="768" spans="14:16" x14ac:dyDescent="0.2">
      <c r="N768">
        <f t="shared" si="23"/>
        <v>767</v>
      </c>
      <c r="O768" s="63">
        <v>1.4333639879700857</v>
      </c>
      <c r="P768" s="62">
        <v>64.270403026917933</v>
      </c>
    </row>
    <row r="769" spans="14:16" x14ac:dyDescent="0.2">
      <c r="N769">
        <f t="shared" si="23"/>
        <v>768</v>
      </c>
      <c r="O769" s="63">
        <v>2.4227211918797753</v>
      </c>
      <c r="P769" s="62">
        <v>206.40054577145153</v>
      </c>
    </row>
    <row r="770" spans="14:16" x14ac:dyDescent="0.2">
      <c r="N770">
        <f t="shared" ref="N770:N833" si="24">ROW(N770)-1</f>
        <v>769</v>
      </c>
      <c r="O770" s="63">
        <v>1.1855710851673191</v>
      </c>
      <c r="P770" s="62">
        <v>27.378404397210574</v>
      </c>
    </row>
    <row r="771" spans="14:16" x14ac:dyDescent="0.2">
      <c r="N771">
        <f t="shared" si="24"/>
        <v>770</v>
      </c>
      <c r="O771" s="63">
        <v>2.0600270311787985</v>
      </c>
      <c r="P771" s="62">
        <v>157.90552927311555</v>
      </c>
    </row>
    <row r="772" spans="14:16" x14ac:dyDescent="0.2">
      <c r="N772">
        <f t="shared" si="24"/>
        <v>771</v>
      </c>
      <c r="O772" s="63">
        <v>1.935964628598106</v>
      </c>
      <c r="P772" s="62">
        <v>140.37041807137635</v>
      </c>
    </row>
    <row r="773" spans="14:16" x14ac:dyDescent="0.2">
      <c r="N773">
        <f t="shared" si="24"/>
        <v>772</v>
      </c>
      <c r="O773" s="63">
        <v>1.5952521692112573</v>
      </c>
      <c r="P773" s="62">
        <v>87.791130614702297</v>
      </c>
    </row>
    <row r="774" spans="14:16" x14ac:dyDescent="0.2">
      <c r="N774">
        <f t="shared" si="24"/>
        <v>773</v>
      </c>
      <c r="O774" s="63">
        <v>1.1357077213593347</v>
      </c>
      <c r="P774" s="62">
        <v>19.817303309903508</v>
      </c>
    </row>
    <row r="775" spans="14:16" x14ac:dyDescent="0.2">
      <c r="N775">
        <f t="shared" si="24"/>
        <v>774</v>
      </c>
      <c r="O775" s="63">
        <v>2.1053819725468879</v>
      </c>
      <c r="P775" s="62">
        <v>161.82824100847995</v>
      </c>
    </row>
    <row r="776" spans="14:16" x14ac:dyDescent="0.2">
      <c r="N776">
        <f t="shared" si="24"/>
        <v>775</v>
      </c>
      <c r="O776" s="63">
        <v>1.7231549104472605</v>
      </c>
      <c r="P776" s="62">
        <v>105.09892031301055</v>
      </c>
    </row>
    <row r="777" spans="14:16" x14ac:dyDescent="0.2">
      <c r="N777">
        <f t="shared" si="24"/>
        <v>776</v>
      </c>
      <c r="O777" s="63">
        <v>1.8788624077267906</v>
      </c>
      <c r="P777" s="62">
        <v>128.19860222445377</v>
      </c>
    </row>
    <row r="778" spans="14:16" x14ac:dyDescent="0.2">
      <c r="N778">
        <f t="shared" si="24"/>
        <v>777</v>
      </c>
      <c r="O778" s="63">
        <v>2.2669359376133822</v>
      </c>
      <c r="P778" s="62">
        <v>183.28137552364836</v>
      </c>
    </row>
    <row r="779" spans="14:16" x14ac:dyDescent="0.2">
      <c r="N779">
        <f t="shared" si="24"/>
        <v>778</v>
      </c>
      <c r="O779" s="63">
        <v>2.1147887831030179</v>
      </c>
      <c r="P779" s="62">
        <v>166.74994989487453</v>
      </c>
    </row>
    <row r="780" spans="14:16" x14ac:dyDescent="0.2">
      <c r="N780">
        <f t="shared" si="24"/>
        <v>779</v>
      </c>
      <c r="O780" s="63">
        <v>1.4359323841988594</v>
      </c>
      <c r="P780" s="62">
        <v>63.703312559269079</v>
      </c>
    </row>
    <row r="781" spans="14:16" x14ac:dyDescent="0.2">
      <c r="N781">
        <f t="shared" si="24"/>
        <v>780</v>
      </c>
      <c r="O781" s="63">
        <v>2.105683984895292</v>
      </c>
      <c r="P781" s="62">
        <v>159.80933965297567</v>
      </c>
    </row>
    <row r="782" spans="14:16" x14ac:dyDescent="0.2">
      <c r="N782">
        <f t="shared" si="24"/>
        <v>781</v>
      </c>
      <c r="O782" s="63">
        <v>1.7336252896113771</v>
      </c>
      <c r="P782" s="62">
        <v>107.27562625232568</v>
      </c>
    </row>
    <row r="783" spans="14:16" x14ac:dyDescent="0.2">
      <c r="N783">
        <f t="shared" si="24"/>
        <v>782</v>
      </c>
      <c r="O783" s="63">
        <v>1.2570966741405067</v>
      </c>
      <c r="P783" s="62">
        <v>37.330321787527112</v>
      </c>
    </row>
    <row r="784" spans="14:16" x14ac:dyDescent="0.2">
      <c r="N784">
        <f t="shared" si="24"/>
        <v>783</v>
      </c>
      <c r="O784" s="63">
        <v>1.2972004365118683</v>
      </c>
      <c r="P784" s="62">
        <v>44.114341868021341</v>
      </c>
    </row>
    <row r="785" spans="14:16" x14ac:dyDescent="0.2">
      <c r="N785">
        <f t="shared" si="24"/>
        <v>784</v>
      </c>
      <c r="O785" s="63">
        <v>1.3598381090117042</v>
      </c>
      <c r="P785" s="62">
        <v>53.179595060462674</v>
      </c>
    </row>
    <row r="786" spans="14:16" x14ac:dyDescent="0.2">
      <c r="N786">
        <f t="shared" si="24"/>
        <v>785</v>
      </c>
      <c r="O786" s="63">
        <v>1.3658567401867669</v>
      </c>
      <c r="P786" s="62">
        <v>54.654067269989014</v>
      </c>
    </row>
    <row r="787" spans="14:16" x14ac:dyDescent="0.2">
      <c r="N787">
        <f t="shared" si="24"/>
        <v>786</v>
      </c>
      <c r="O787" s="63">
        <v>1.9302648170806425</v>
      </c>
      <c r="P787" s="62">
        <v>133.9127365733388</v>
      </c>
    </row>
    <row r="788" spans="14:16" x14ac:dyDescent="0.2">
      <c r="N788">
        <f t="shared" si="24"/>
        <v>787</v>
      </c>
      <c r="O788" s="63">
        <v>1.1508087929027766</v>
      </c>
      <c r="P788" s="62">
        <v>21.93683625381172</v>
      </c>
    </row>
    <row r="789" spans="14:16" x14ac:dyDescent="0.2">
      <c r="N789">
        <f t="shared" si="24"/>
        <v>788</v>
      </c>
      <c r="O789" s="63">
        <v>1.5232951785095705</v>
      </c>
      <c r="P789" s="62">
        <v>77.049489245573568</v>
      </c>
    </row>
    <row r="790" spans="14:16" x14ac:dyDescent="0.2">
      <c r="N790">
        <f t="shared" si="24"/>
        <v>789</v>
      </c>
      <c r="O790" s="63">
        <v>1.0764394590240358</v>
      </c>
      <c r="P790" s="62">
        <v>11.209869151308567</v>
      </c>
    </row>
    <row r="791" spans="14:16" x14ac:dyDescent="0.2">
      <c r="N791">
        <f t="shared" si="24"/>
        <v>790</v>
      </c>
      <c r="O791" s="63">
        <v>1.9231767126660246</v>
      </c>
      <c r="P791" s="62">
        <v>134.63994683576951</v>
      </c>
    </row>
    <row r="792" spans="14:16" x14ac:dyDescent="0.2">
      <c r="N792">
        <f t="shared" si="24"/>
        <v>791</v>
      </c>
      <c r="O792" s="63">
        <v>2.1177232189968547</v>
      </c>
      <c r="P792" s="62">
        <v>163.5328867625216</v>
      </c>
    </row>
    <row r="793" spans="14:16" x14ac:dyDescent="0.2">
      <c r="N793">
        <f t="shared" si="24"/>
        <v>792</v>
      </c>
      <c r="O793" s="63">
        <v>2.3168868497527106</v>
      </c>
      <c r="P793" s="62">
        <v>189.63934358498665</v>
      </c>
    </row>
    <row r="794" spans="14:16" x14ac:dyDescent="0.2">
      <c r="N794">
        <f t="shared" si="24"/>
        <v>793</v>
      </c>
      <c r="O794" s="63">
        <v>1.8131975299426084</v>
      </c>
      <c r="P794" s="62">
        <v>119.64738207156992</v>
      </c>
    </row>
    <row r="795" spans="14:16" x14ac:dyDescent="0.2">
      <c r="N795">
        <f t="shared" si="24"/>
        <v>794</v>
      </c>
      <c r="O795" s="63">
        <v>1.8319329397161468</v>
      </c>
      <c r="P795" s="62">
        <v>121.10829960398402</v>
      </c>
    </row>
    <row r="796" spans="14:16" x14ac:dyDescent="0.2">
      <c r="N796">
        <f t="shared" si="24"/>
        <v>795</v>
      </c>
      <c r="O796" s="63">
        <v>1.6438098943334734</v>
      </c>
      <c r="P796" s="62">
        <v>94.370791441491491</v>
      </c>
    </row>
    <row r="797" spans="14:16" x14ac:dyDescent="0.2">
      <c r="N797">
        <f t="shared" si="24"/>
        <v>796</v>
      </c>
      <c r="O797" s="63">
        <v>2.7210209942295767</v>
      </c>
      <c r="P797" s="62">
        <v>250.35974154081936</v>
      </c>
    </row>
    <row r="798" spans="14:16" x14ac:dyDescent="0.2">
      <c r="N798">
        <f t="shared" si="24"/>
        <v>797</v>
      </c>
      <c r="O798" s="63">
        <v>2.2275683701819906</v>
      </c>
      <c r="P798" s="62">
        <v>177.40369459419415</v>
      </c>
    </row>
    <row r="799" spans="14:16" x14ac:dyDescent="0.2">
      <c r="N799">
        <f t="shared" si="24"/>
        <v>798</v>
      </c>
      <c r="O799" s="63">
        <v>1.3895824663877578</v>
      </c>
      <c r="P799" s="62">
        <v>57.797192684320663</v>
      </c>
    </row>
    <row r="800" spans="14:16" x14ac:dyDescent="0.2">
      <c r="N800">
        <f t="shared" si="24"/>
        <v>799</v>
      </c>
      <c r="O800" s="63">
        <v>1.3613169896896269</v>
      </c>
      <c r="P800" s="62">
        <v>53.846181673815579</v>
      </c>
    </row>
    <row r="801" spans="14:16" x14ac:dyDescent="0.2">
      <c r="N801">
        <f t="shared" si="24"/>
        <v>800</v>
      </c>
      <c r="O801" s="63">
        <v>1.7715818866795316</v>
      </c>
      <c r="P801" s="62">
        <v>112.13513897805223</v>
      </c>
    </row>
    <row r="802" spans="14:16" x14ac:dyDescent="0.2">
      <c r="N802">
        <f t="shared" si="24"/>
        <v>801</v>
      </c>
      <c r="O802" s="63">
        <v>1.6948769327343649</v>
      </c>
      <c r="P802" s="62">
        <v>102.61322738849546</v>
      </c>
    </row>
    <row r="803" spans="14:16" x14ac:dyDescent="0.2">
      <c r="N803">
        <f t="shared" si="24"/>
        <v>802</v>
      </c>
      <c r="O803" s="63">
        <v>1.7209851967767067</v>
      </c>
      <c r="P803" s="62">
        <v>103.79239050600816</v>
      </c>
    </row>
    <row r="804" spans="14:16" x14ac:dyDescent="0.2">
      <c r="N804">
        <f t="shared" si="24"/>
        <v>803</v>
      </c>
      <c r="O804" s="63">
        <v>1.8962688277961968</v>
      </c>
      <c r="P804" s="62">
        <v>134.20905784043677</v>
      </c>
    </row>
    <row r="805" spans="14:16" x14ac:dyDescent="0.2">
      <c r="N805">
        <f t="shared" si="24"/>
        <v>804</v>
      </c>
      <c r="O805" s="63">
        <v>1.4201666628076155</v>
      </c>
      <c r="P805" s="62">
        <v>61.345121173431238</v>
      </c>
    </row>
    <row r="806" spans="14:16" x14ac:dyDescent="0.2">
      <c r="N806">
        <f t="shared" si="24"/>
        <v>805</v>
      </c>
      <c r="O806" s="63">
        <v>1.4250439779409818</v>
      </c>
      <c r="P806" s="62">
        <v>62.521177342431912</v>
      </c>
    </row>
    <row r="807" spans="14:16" x14ac:dyDescent="0.2">
      <c r="N807">
        <f t="shared" si="24"/>
        <v>806</v>
      </c>
      <c r="O807" s="63">
        <v>1.3453865157269311</v>
      </c>
      <c r="P807" s="62">
        <v>49.296913822421487</v>
      </c>
    </row>
    <row r="808" spans="14:16" x14ac:dyDescent="0.2">
      <c r="N808">
        <f t="shared" si="24"/>
        <v>807</v>
      </c>
      <c r="O808" s="63">
        <v>2.3553878926215384</v>
      </c>
      <c r="P808" s="62">
        <v>199.26190364944861</v>
      </c>
    </row>
    <row r="809" spans="14:16" x14ac:dyDescent="0.2">
      <c r="N809">
        <f t="shared" si="24"/>
        <v>808</v>
      </c>
      <c r="O809" s="63">
        <v>1.6043205081647132</v>
      </c>
      <c r="P809" s="62">
        <v>89.716223601237004</v>
      </c>
    </row>
    <row r="810" spans="14:16" x14ac:dyDescent="0.2">
      <c r="N810">
        <f t="shared" si="24"/>
        <v>809</v>
      </c>
      <c r="O810" s="63">
        <v>1.1825187984784329</v>
      </c>
      <c r="P810" s="62">
        <v>26.577615120440754</v>
      </c>
    </row>
    <row r="811" spans="14:16" x14ac:dyDescent="0.2">
      <c r="N811">
        <f t="shared" si="24"/>
        <v>810</v>
      </c>
      <c r="O811" s="63">
        <v>2.3787987030307423</v>
      </c>
      <c r="P811" s="62">
        <v>201.92688183322289</v>
      </c>
    </row>
    <row r="812" spans="14:16" x14ac:dyDescent="0.2">
      <c r="N812">
        <f t="shared" si="24"/>
        <v>811</v>
      </c>
      <c r="O812" s="63">
        <v>1.682349128717467</v>
      </c>
      <c r="P812" s="62">
        <v>102.33832661481458</v>
      </c>
    </row>
    <row r="813" spans="14:16" x14ac:dyDescent="0.2">
      <c r="N813">
        <f t="shared" si="24"/>
        <v>812</v>
      </c>
      <c r="O813" s="63">
        <v>1.5347839756117183</v>
      </c>
      <c r="P813" s="62">
        <v>78.267385909153944</v>
      </c>
    </row>
    <row r="814" spans="14:16" x14ac:dyDescent="0.2">
      <c r="N814">
        <f t="shared" si="24"/>
        <v>813</v>
      </c>
      <c r="O814" s="63">
        <v>2.070866704728294</v>
      </c>
      <c r="P814" s="62">
        <v>159.96681682133718</v>
      </c>
    </row>
    <row r="815" spans="14:16" x14ac:dyDescent="0.2">
      <c r="N815">
        <f t="shared" si="24"/>
        <v>814</v>
      </c>
      <c r="O815" s="63">
        <v>1.1765585461542856</v>
      </c>
      <c r="P815" s="62">
        <v>25.789032352335255</v>
      </c>
    </row>
    <row r="816" spans="14:16" x14ac:dyDescent="0.2">
      <c r="N816">
        <f t="shared" si="24"/>
        <v>815</v>
      </c>
      <c r="O816" s="63">
        <v>2.7310853804148878</v>
      </c>
      <c r="P816" s="62">
        <v>247.58519013863378</v>
      </c>
    </row>
    <row r="817" spans="14:16" x14ac:dyDescent="0.2">
      <c r="N817">
        <f t="shared" si="24"/>
        <v>816</v>
      </c>
      <c r="O817" s="63">
        <v>1.5748199083063759</v>
      </c>
      <c r="P817" s="62">
        <v>83.422089071819443</v>
      </c>
    </row>
    <row r="818" spans="14:16" x14ac:dyDescent="0.2">
      <c r="N818">
        <f t="shared" si="24"/>
        <v>817</v>
      </c>
      <c r="O818" s="63">
        <v>1.9541330728466335</v>
      </c>
      <c r="P818" s="62">
        <v>142.2423063919737</v>
      </c>
    </row>
    <row r="819" spans="14:16" x14ac:dyDescent="0.2">
      <c r="N819">
        <f t="shared" si="24"/>
        <v>818</v>
      </c>
      <c r="O819" s="63">
        <v>2.2233267625993376</v>
      </c>
      <c r="P819" s="62">
        <v>182.76449097894678</v>
      </c>
    </row>
    <row r="820" spans="14:16" x14ac:dyDescent="0.2">
      <c r="N820">
        <f t="shared" si="24"/>
        <v>819</v>
      </c>
      <c r="O820" s="63">
        <v>1.4726728731196099</v>
      </c>
      <c r="P820" s="62">
        <v>69.32218072678279</v>
      </c>
    </row>
    <row r="821" spans="14:16" x14ac:dyDescent="0.2">
      <c r="N821">
        <f t="shared" si="24"/>
        <v>820</v>
      </c>
      <c r="O821" s="63">
        <v>1.7042048623419663</v>
      </c>
      <c r="P821" s="62">
        <v>105.31509893443945</v>
      </c>
    </row>
    <row r="822" spans="14:16" x14ac:dyDescent="0.2">
      <c r="N822">
        <f t="shared" si="24"/>
        <v>821</v>
      </c>
      <c r="O822" s="63">
        <v>1.8998046913318842</v>
      </c>
      <c r="P822" s="62">
        <v>135.1132355180892</v>
      </c>
    </row>
    <row r="823" spans="14:16" x14ac:dyDescent="0.2">
      <c r="N823">
        <f t="shared" si="24"/>
        <v>822</v>
      </c>
      <c r="O823" s="63">
        <v>1.578325958607103</v>
      </c>
      <c r="P823" s="62">
        <v>85.629097784118528</v>
      </c>
    </row>
    <row r="824" spans="14:16" x14ac:dyDescent="0.2">
      <c r="N824">
        <f t="shared" si="24"/>
        <v>823</v>
      </c>
      <c r="O824" s="63">
        <v>1.4087338720173992</v>
      </c>
      <c r="P824" s="62">
        <v>59.974631169866313</v>
      </c>
    </row>
    <row r="825" spans="14:16" x14ac:dyDescent="0.2">
      <c r="N825">
        <f t="shared" si="24"/>
        <v>824</v>
      </c>
      <c r="O825" s="63">
        <v>1.1205843938773581</v>
      </c>
      <c r="P825" s="62">
        <v>17.78917598317787</v>
      </c>
    </row>
    <row r="826" spans="14:16" x14ac:dyDescent="0.2">
      <c r="N826">
        <f t="shared" si="24"/>
        <v>825</v>
      </c>
      <c r="O826" s="63">
        <v>2.2670020319873814</v>
      </c>
      <c r="P826" s="62">
        <v>185.8799570784758</v>
      </c>
    </row>
    <row r="827" spans="14:16" x14ac:dyDescent="0.2">
      <c r="N827">
        <f t="shared" si="24"/>
        <v>826</v>
      </c>
      <c r="O827" s="63">
        <v>2.3644719702603298</v>
      </c>
      <c r="P827" s="62">
        <v>199.21923533330988</v>
      </c>
    </row>
    <row r="828" spans="14:16" x14ac:dyDescent="0.2">
      <c r="N828">
        <f t="shared" si="24"/>
        <v>827</v>
      </c>
      <c r="O828" s="63">
        <v>1.119699982527363</v>
      </c>
      <c r="P828" s="62">
        <v>17.687912132981438</v>
      </c>
    </row>
    <row r="829" spans="14:16" x14ac:dyDescent="0.2">
      <c r="N829">
        <f t="shared" si="24"/>
        <v>828</v>
      </c>
      <c r="O829" s="63">
        <v>2.1638865872112985</v>
      </c>
      <c r="P829" s="62">
        <v>174.41214799141278</v>
      </c>
    </row>
    <row r="830" spans="14:16" x14ac:dyDescent="0.2">
      <c r="N830">
        <f t="shared" si="24"/>
        <v>829</v>
      </c>
      <c r="O830" s="63">
        <v>2.0413586234974246</v>
      </c>
      <c r="P830" s="62">
        <v>153.4990946787695</v>
      </c>
    </row>
    <row r="831" spans="14:16" x14ac:dyDescent="0.2">
      <c r="N831">
        <f t="shared" si="24"/>
        <v>830</v>
      </c>
      <c r="O831" s="63">
        <v>2.4180891552718866</v>
      </c>
      <c r="P831" s="62">
        <v>209.23744521067232</v>
      </c>
    </row>
    <row r="832" spans="14:16" x14ac:dyDescent="0.2">
      <c r="N832">
        <f t="shared" si="24"/>
        <v>831</v>
      </c>
      <c r="O832" s="63">
        <v>1.8249727861795371</v>
      </c>
      <c r="P832" s="62">
        <v>120.78252298963966</v>
      </c>
    </row>
    <row r="833" spans="14:16" x14ac:dyDescent="0.2">
      <c r="N833">
        <f t="shared" si="24"/>
        <v>832</v>
      </c>
      <c r="O833" s="63">
        <v>1.7691388996772359</v>
      </c>
      <c r="P833" s="62">
        <v>114.53706282207978</v>
      </c>
    </row>
    <row r="834" spans="14:16" x14ac:dyDescent="0.2">
      <c r="N834">
        <f t="shared" ref="N834:N897" si="25">ROW(N834)-1</f>
        <v>833</v>
      </c>
      <c r="O834" s="63">
        <v>1.6612516935026409</v>
      </c>
      <c r="P834" s="62">
        <v>96.87313268994464</v>
      </c>
    </row>
    <row r="835" spans="14:16" x14ac:dyDescent="0.2">
      <c r="N835">
        <f t="shared" si="25"/>
        <v>834</v>
      </c>
      <c r="O835" s="63">
        <v>2.8503170281361272</v>
      </c>
      <c r="P835" s="62">
        <v>275.30257417525326</v>
      </c>
    </row>
    <row r="836" spans="14:16" x14ac:dyDescent="0.2">
      <c r="N836">
        <f t="shared" si="25"/>
        <v>835</v>
      </c>
      <c r="O836" s="63">
        <v>1.8400230292402511</v>
      </c>
      <c r="P836" s="62">
        <v>121.95022464513909</v>
      </c>
    </row>
    <row r="837" spans="14:16" x14ac:dyDescent="0.2">
      <c r="N837">
        <f t="shared" si="25"/>
        <v>836</v>
      </c>
      <c r="O837" s="63">
        <v>1.6799918507653244</v>
      </c>
      <c r="P837" s="62">
        <v>98.960613516221144</v>
      </c>
    </row>
    <row r="838" spans="14:16" x14ac:dyDescent="0.2">
      <c r="N838">
        <f t="shared" si="25"/>
        <v>837</v>
      </c>
      <c r="O838" s="63">
        <v>2.0666675988446794</v>
      </c>
      <c r="P838" s="62">
        <v>158.13560442589363</v>
      </c>
    </row>
    <row r="839" spans="14:16" x14ac:dyDescent="0.2">
      <c r="N839">
        <f t="shared" si="25"/>
        <v>838</v>
      </c>
      <c r="O839" s="63">
        <v>1.571352965452719</v>
      </c>
      <c r="P839" s="62">
        <v>84.452843075563806</v>
      </c>
    </row>
    <row r="840" spans="14:16" x14ac:dyDescent="0.2">
      <c r="N840">
        <f t="shared" si="25"/>
        <v>839</v>
      </c>
      <c r="O840" s="63">
        <v>1.6609669737475317</v>
      </c>
      <c r="P840" s="62">
        <v>97.341093423145594</v>
      </c>
    </row>
    <row r="841" spans="14:16" x14ac:dyDescent="0.2">
      <c r="N841">
        <f t="shared" si="25"/>
        <v>840</v>
      </c>
      <c r="O841" s="63">
        <v>1.9349812540166715</v>
      </c>
      <c r="P841" s="62">
        <v>135.62805326450413</v>
      </c>
    </row>
    <row r="842" spans="14:16" x14ac:dyDescent="0.2">
      <c r="N842">
        <f t="shared" si="25"/>
        <v>841</v>
      </c>
      <c r="O842" s="63">
        <v>1.8454126246595062</v>
      </c>
      <c r="P842" s="62">
        <v>124.66687043233134</v>
      </c>
    </row>
    <row r="843" spans="14:16" x14ac:dyDescent="0.2">
      <c r="N843">
        <f t="shared" si="25"/>
        <v>842</v>
      </c>
      <c r="O843" s="63">
        <v>1.6611698866414757</v>
      </c>
      <c r="P843" s="62">
        <v>98.493033170026507</v>
      </c>
    </row>
    <row r="844" spans="14:16" x14ac:dyDescent="0.2">
      <c r="N844">
        <f t="shared" si="25"/>
        <v>843</v>
      </c>
      <c r="O844" s="63">
        <v>2.1726230117688909</v>
      </c>
      <c r="P844" s="62">
        <v>170.54885817559463</v>
      </c>
    </row>
    <row r="845" spans="14:16" x14ac:dyDescent="0.2">
      <c r="N845">
        <f t="shared" si="25"/>
        <v>844</v>
      </c>
      <c r="O845" s="63">
        <v>1.0841222768348029</v>
      </c>
      <c r="P845" s="62">
        <v>12.348238427742984</v>
      </c>
    </row>
    <row r="846" spans="14:16" x14ac:dyDescent="0.2">
      <c r="N846">
        <f t="shared" si="25"/>
        <v>845</v>
      </c>
      <c r="O846" s="63">
        <v>1.6659013860547769</v>
      </c>
      <c r="P846" s="62">
        <v>96.970843375134592</v>
      </c>
    </row>
    <row r="847" spans="14:16" x14ac:dyDescent="0.2">
      <c r="N847">
        <f t="shared" si="25"/>
        <v>846</v>
      </c>
      <c r="O847" s="63">
        <v>1.8186201486199061</v>
      </c>
      <c r="P847" s="62">
        <v>121.42080002436018</v>
      </c>
    </row>
    <row r="848" spans="14:16" x14ac:dyDescent="0.2">
      <c r="N848">
        <f t="shared" si="25"/>
        <v>847</v>
      </c>
      <c r="O848" s="63">
        <v>1.5191770247691279</v>
      </c>
      <c r="P848" s="62">
        <v>75.898609910599163</v>
      </c>
    </row>
    <row r="849" spans="14:16" x14ac:dyDescent="0.2">
      <c r="N849">
        <f t="shared" si="25"/>
        <v>848</v>
      </c>
      <c r="O849" s="63">
        <v>2.3033331876812437</v>
      </c>
      <c r="P849" s="62">
        <v>188.40113828604004</v>
      </c>
    </row>
    <row r="850" spans="14:16" x14ac:dyDescent="0.2">
      <c r="N850">
        <f t="shared" si="25"/>
        <v>849</v>
      </c>
      <c r="O850" s="63">
        <v>2.1428076917987533</v>
      </c>
      <c r="P850" s="62">
        <v>171.63754753100523</v>
      </c>
    </row>
    <row r="851" spans="14:16" x14ac:dyDescent="0.2">
      <c r="N851">
        <f t="shared" si="25"/>
        <v>850</v>
      </c>
      <c r="O851" s="63">
        <v>2.392548904041313</v>
      </c>
      <c r="P851" s="62">
        <v>205.14219701573222</v>
      </c>
    </row>
    <row r="852" spans="14:16" x14ac:dyDescent="0.2">
      <c r="N852">
        <f t="shared" si="25"/>
        <v>851</v>
      </c>
      <c r="O852" s="63">
        <v>1.9039744603024102</v>
      </c>
      <c r="P852" s="62">
        <v>133.18998691342662</v>
      </c>
    </row>
    <row r="853" spans="14:16" x14ac:dyDescent="0.2">
      <c r="N853">
        <f t="shared" si="25"/>
        <v>852</v>
      </c>
      <c r="O853" s="63">
        <v>1.5281788961956508</v>
      </c>
      <c r="P853" s="62">
        <v>77.812997220163652</v>
      </c>
    </row>
    <row r="854" spans="14:16" x14ac:dyDescent="0.2">
      <c r="N854">
        <f t="shared" si="25"/>
        <v>853</v>
      </c>
      <c r="O854" s="63">
        <v>1.7220016969919749</v>
      </c>
      <c r="P854" s="62">
        <v>106.81839015351582</v>
      </c>
    </row>
    <row r="855" spans="14:16" x14ac:dyDescent="0.2">
      <c r="N855">
        <f t="shared" si="25"/>
        <v>854</v>
      </c>
      <c r="O855" s="63">
        <v>1.7124804823270798</v>
      </c>
      <c r="P855" s="62">
        <v>103.46328500528116</v>
      </c>
    </row>
    <row r="856" spans="14:16" x14ac:dyDescent="0.2">
      <c r="N856">
        <f t="shared" si="25"/>
        <v>855</v>
      </c>
      <c r="O856" s="63">
        <v>1.6081740246150318</v>
      </c>
      <c r="P856" s="62">
        <v>90.233135650181509</v>
      </c>
    </row>
    <row r="857" spans="14:16" x14ac:dyDescent="0.2">
      <c r="N857">
        <f t="shared" si="25"/>
        <v>856</v>
      </c>
      <c r="O857" s="63">
        <v>1.7484579757118899</v>
      </c>
      <c r="P857" s="62">
        <v>113.6158848102678</v>
      </c>
    </row>
    <row r="858" spans="14:16" x14ac:dyDescent="0.2">
      <c r="N858">
        <f t="shared" si="25"/>
        <v>857</v>
      </c>
      <c r="O858" s="63">
        <v>1.5460602013805249</v>
      </c>
      <c r="P858" s="62">
        <v>81.713579127872379</v>
      </c>
    </row>
    <row r="859" spans="14:16" x14ac:dyDescent="0.2">
      <c r="N859">
        <f t="shared" si="25"/>
        <v>858</v>
      </c>
      <c r="O859" s="63">
        <v>1.6795617142145609</v>
      </c>
      <c r="P859" s="62">
        <v>101.48835995060264</v>
      </c>
    </row>
    <row r="860" spans="14:16" x14ac:dyDescent="0.2">
      <c r="N860">
        <f t="shared" si="25"/>
        <v>859</v>
      </c>
      <c r="O860" s="63">
        <v>3.3369471430886128</v>
      </c>
      <c r="P860" s="62">
        <v>344.76499831297463</v>
      </c>
    </row>
    <row r="861" spans="14:16" x14ac:dyDescent="0.2">
      <c r="N861">
        <f t="shared" si="25"/>
        <v>860</v>
      </c>
      <c r="O861" s="63">
        <v>1.3428059858667327</v>
      </c>
      <c r="P861" s="62">
        <v>50.877100798181317</v>
      </c>
    </row>
    <row r="862" spans="14:16" x14ac:dyDescent="0.2">
      <c r="N862">
        <f t="shared" si="25"/>
        <v>861</v>
      </c>
      <c r="O862" s="63">
        <v>1.3925098370342586</v>
      </c>
      <c r="P862" s="62">
        <v>57.563449161474296</v>
      </c>
    </row>
    <row r="863" spans="14:16" x14ac:dyDescent="0.2">
      <c r="N863">
        <f t="shared" si="25"/>
        <v>862</v>
      </c>
      <c r="O863" s="63">
        <v>1.6697837835672449</v>
      </c>
      <c r="P863" s="62">
        <v>98.769840877627558</v>
      </c>
    </row>
    <row r="864" spans="14:16" x14ac:dyDescent="0.2">
      <c r="N864">
        <f t="shared" si="25"/>
        <v>863</v>
      </c>
      <c r="O864" s="63">
        <v>1.2680652141372704</v>
      </c>
      <c r="P864" s="62">
        <v>39.011175526542189</v>
      </c>
    </row>
    <row r="865" spans="14:16" x14ac:dyDescent="0.2">
      <c r="N865">
        <f t="shared" si="25"/>
        <v>864</v>
      </c>
      <c r="O865" s="63">
        <v>1.2602906932058104</v>
      </c>
      <c r="P865" s="62">
        <v>37.718955629547935</v>
      </c>
    </row>
    <row r="866" spans="14:16" x14ac:dyDescent="0.2">
      <c r="N866">
        <f t="shared" si="25"/>
        <v>865</v>
      </c>
      <c r="O866" s="63">
        <v>1.4868418694614118</v>
      </c>
      <c r="P866" s="62">
        <v>71.855379463135534</v>
      </c>
    </row>
    <row r="867" spans="14:16" x14ac:dyDescent="0.2">
      <c r="N867">
        <f t="shared" si="25"/>
        <v>866</v>
      </c>
      <c r="O867" s="63">
        <v>1.6097332358934082</v>
      </c>
      <c r="P867" s="62">
        <v>88.226204664365099</v>
      </c>
    </row>
    <row r="868" spans="14:16" x14ac:dyDescent="0.2">
      <c r="N868">
        <f t="shared" si="25"/>
        <v>867</v>
      </c>
      <c r="O868" s="63">
        <v>1.8758041607348412</v>
      </c>
      <c r="P868" s="62">
        <v>127.65388533240693</v>
      </c>
    </row>
    <row r="869" spans="14:16" x14ac:dyDescent="0.2">
      <c r="N869">
        <f t="shared" si="25"/>
        <v>868</v>
      </c>
      <c r="O869" s="63">
        <v>2.1095906766483554</v>
      </c>
      <c r="P869" s="62">
        <v>162.20680511864637</v>
      </c>
    </row>
    <row r="870" spans="14:16" x14ac:dyDescent="0.2">
      <c r="N870">
        <f t="shared" si="25"/>
        <v>869</v>
      </c>
      <c r="O870" s="63">
        <v>2.5387979794788111</v>
      </c>
      <c r="P870" s="62">
        <v>222.43831644276375</v>
      </c>
    </row>
    <row r="871" spans="14:16" x14ac:dyDescent="0.2">
      <c r="N871">
        <f t="shared" si="25"/>
        <v>870</v>
      </c>
      <c r="O871" s="63">
        <v>2.7699459712978438</v>
      </c>
      <c r="P871" s="62">
        <v>265.3225575524001</v>
      </c>
    </row>
    <row r="872" spans="14:16" x14ac:dyDescent="0.2">
      <c r="N872">
        <f t="shared" si="25"/>
        <v>871</v>
      </c>
      <c r="O872" s="63">
        <v>1.6479577700647197</v>
      </c>
      <c r="P872" s="62">
        <v>95.036070300029053</v>
      </c>
    </row>
    <row r="873" spans="14:16" x14ac:dyDescent="0.2">
      <c r="N873">
        <f t="shared" si="25"/>
        <v>872</v>
      </c>
      <c r="O873" s="63">
        <v>1.6179312576922031</v>
      </c>
      <c r="P873" s="62">
        <v>91.945687010493344</v>
      </c>
    </row>
    <row r="874" spans="14:16" x14ac:dyDescent="0.2">
      <c r="N874">
        <f t="shared" si="25"/>
        <v>873</v>
      </c>
      <c r="O874" s="63">
        <v>1.6294888526158926</v>
      </c>
      <c r="P874" s="62">
        <v>94.56960592773612</v>
      </c>
    </row>
    <row r="875" spans="14:16" x14ac:dyDescent="0.2">
      <c r="N875">
        <f t="shared" si="25"/>
        <v>874</v>
      </c>
      <c r="O875" s="63">
        <v>2.0515514512073865</v>
      </c>
      <c r="P875" s="62">
        <v>153.46544139785715</v>
      </c>
    </row>
    <row r="876" spans="14:16" x14ac:dyDescent="0.2">
      <c r="N876">
        <f t="shared" si="25"/>
        <v>875</v>
      </c>
      <c r="O876" s="63">
        <v>1.9783770873661701</v>
      </c>
      <c r="P876" s="62">
        <v>145.48154626775812</v>
      </c>
    </row>
    <row r="877" spans="14:16" x14ac:dyDescent="0.2">
      <c r="N877">
        <f t="shared" si="25"/>
        <v>876</v>
      </c>
      <c r="O877" s="63">
        <v>1.5299027205485831</v>
      </c>
      <c r="P877" s="62">
        <v>79.45098585749426</v>
      </c>
    </row>
    <row r="878" spans="14:16" x14ac:dyDescent="0.2">
      <c r="N878">
        <f t="shared" si="25"/>
        <v>877</v>
      </c>
      <c r="O878" s="63">
        <v>1.6717408332663071</v>
      </c>
      <c r="P878" s="62">
        <v>99.473636606377823</v>
      </c>
    </row>
    <row r="879" spans="14:16" x14ac:dyDescent="0.2">
      <c r="N879">
        <f t="shared" si="25"/>
        <v>878</v>
      </c>
      <c r="O879" s="63">
        <v>1.7065841491443305</v>
      </c>
      <c r="P879" s="62">
        <v>105.92391966232051</v>
      </c>
    </row>
    <row r="880" spans="14:16" x14ac:dyDescent="0.2">
      <c r="N880">
        <f t="shared" si="25"/>
        <v>879</v>
      </c>
      <c r="O880" s="63">
        <v>1.9912373811258257</v>
      </c>
      <c r="P880" s="62">
        <v>145.63393313836355</v>
      </c>
    </row>
    <row r="881" spans="14:16" x14ac:dyDescent="0.2">
      <c r="N881">
        <f t="shared" si="25"/>
        <v>880</v>
      </c>
      <c r="O881" s="63">
        <v>2.2201359901447946</v>
      </c>
      <c r="P881" s="62">
        <v>183.23551842074113</v>
      </c>
    </row>
    <row r="882" spans="14:16" x14ac:dyDescent="0.2">
      <c r="N882">
        <f t="shared" si="25"/>
        <v>881</v>
      </c>
      <c r="O882" s="63">
        <v>2.2301789510566419</v>
      </c>
      <c r="P882" s="62">
        <v>182.83369789954457</v>
      </c>
    </row>
    <row r="883" spans="14:16" x14ac:dyDescent="0.2">
      <c r="N883">
        <f t="shared" si="25"/>
        <v>882</v>
      </c>
      <c r="O883" s="63">
        <v>2.3366980146659153</v>
      </c>
      <c r="P883" s="62">
        <v>197.2694459548182</v>
      </c>
    </row>
    <row r="884" spans="14:16" x14ac:dyDescent="0.2">
      <c r="N884">
        <f t="shared" si="25"/>
        <v>883</v>
      </c>
      <c r="O884" s="63">
        <v>1.6920531550653639</v>
      </c>
      <c r="P884" s="62">
        <v>102.55314017683813</v>
      </c>
    </row>
    <row r="885" spans="14:16" x14ac:dyDescent="0.2">
      <c r="N885">
        <f t="shared" si="25"/>
        <v>884</v>
      </c>
      <c r="O885" s="63">
        <v>1.5892970326924669</v>
      </c>
      <c r="P885" s="62">
        <v>85.637382377099243</v>
      </c>
    </row>
    <row r="886" spans="14:16" x14ac:dyDescent="0.2">
      <c r="N886">
        <f t="shared" si="25"/>
        <v>885</v>
      </c>
      <c r="O886" s="63">
        <v>2.2497361569242886</v>
      </c>
      <c r="P886" s="62">
        <v>181.0485726180888</v>
      </c>
    </row>
    <row r="887" spans="14:16" x14ac:dyDescent="0.2">
      <c r="N887">
        <f t="shared" si="25"/>
        <v>886</v>
      </c>
      <c r="O887" s="63">
        <v>2.1053884603053414</v>
      </c>
      <c r="P887" s="62">
        <v>163.67382445501229</v>
      </c>
    </row>
    <row r="888" spans="14:16" x14ac:dyDescent="0.2">
      <c r="N888">
        <f t="shared" si="25"/>
        <v>887</v>
      </c>
      <c r="O888" s="63">
        <v>1.5777352370993925</v>
      </c>
      <c r="P888" s="62">
        <v>83.631854146332984</v>
      </c>
    </row>
    <row r="889" spans="14:16" x14ac:dyDescent="0.2">
      <c r="N889">
        <f t="shared" si="25"/>
        <v>888</v>
      </c>
      <c r="O889" s="63">
        <v>1.7748520633797884</v>
      </c>
      <c r="P889" s="62">
        <v>113.43656057059997</v>
      </c>
    </row>
    <row r="890" spans="14:16" x14ac:dyDescent="0.2">
      <c r="N890">
        <f t="shared" si="25"/>
        <v>889</v>
      </c>
      <c r="O890" s="63">
        <v>2.1430283638160392</v>
      </c>
      <c r="P890" s="62">
        <v>167.86752969401752</v>
      </c>
    </row>
    <row r="891" spans="14:16" x14ac:dyDescent="0.2">
      <c r="N891">
        <f t="shared" si="25"/>
        <v>890</v>
      </c>
      <c r="O891" s="63">
        <v>1.2714124404280838</v>
      </c>
      <c r="P891" s="62">
        <v>40.473310270578821</v>
      </c>
    </row>
    <row r="892" spans="14:16" x14ac:dyDescent="0.2">
      <c r="N892">
        <f t="shared" si="25"/>
        <v>891</v>
      </c>
      <c r="O892" s="63">
        <v>1.4470850729357665</v>
      </c>
      <c r="P892" s="62">
        <v>65.275432335512733</v>
      </c>
    </row>
    <row r="893" spans="14:16" x14ac:dyDescent="0.2">
      <c r="N893">
        <f t="shared" si="25"/>
        <v>892</v>
      </c>
      <c r="O893" s="63">
        <v>1.9940479879537998</v>
      </c>
      <c r="P893" s="62">
        <v>142.8742380020185</v>
      </c>
    </row>
    <row r="894" spans="14:16" x14ac:dyDescent="0.2">
      <c r="N894">
        <f t="shared" si="25"/>
        <v>893</v>
      </c>
      <c r="O894" s="63">
        <v>1.2424449703286446</v>
      </c>
      <c r="P894" s="62">
        <v>35.609015988343259</v>
      </c>
    </row>
    <row r="895" spans="14:16" x14ac:dyDescent="0.2">
      <c r="N895">
        <f t="shared" si="25"/>
        <v>894</v>
      </c>
      <c r="O895" s="63">
        <v>1.4965014784238329</v>
      </c>
      <c r="P895" s="62">
        <v>73.199058595739984</v>
      </c>
    </row>
    <row r="896" spans="14:16" x14ac:dyDescent="0.2">
      <c r="N896">
        <f t="shared" si="25"/>
        <v>895</v>
      </c>
      <c r="O896" s="63">
        <v>2.0673523790064503</v>
      </c>
      <c r="P896" s="62">
        <v>155.7267753189187</v>
      </c>
    </row>
    <row r="897" spans="14:16" x14ac:dyDescent="0.2">
      <c r="N897">
        <f t="shared" si="25"/>
        <v>896</v>
      </c>
      <c r="O897" s="63">
        <v>1.1269016033396824</v>
      </c>
      <c r="P897" s="62">
        <v>18.619943564341014</v>
      </c>
    </row>
    <row r="898" spans="14:16" x14ac:dyDescent="0.2">
      <c r="N898">
        <f t="shared" ref="N898:N961" si="26">ROW(N898)-1</f>
        <v>897</v>
      </c>
      <c r="O898" s="63">
        <v>1.8936731829411715</v>
      </c>
      <c r="P898" s="62">
        <v>128.15753886022415</v>
      </c>
    </row>
    <row r="899" spans="14:16" x14ac:dyDescent="0.2">
      <c r="N899">
        <f t="shared" si="26"/>
        <v>898</v>
      </c>
      <c r="O899" s="63">
        <v>1.991685156960231</v>
      </c>
      <c r="P899" s="62">
        <v>146.35409060868969</v>
      </c>
    </row>
    <row r="900" spans="14:16" x14ac:dyDescent="0.2">
      <c r="N900">
        <f t="shared" si="26"/>
        <v>899</v>
      </c>
      <c r="O900" s="63">
        <v>1.3828449359335906</v>
      </c>
      <c r="P900" s="62">
        <v>56.474320076690418</v>
      </c>
    </row>
    <row r="901" spans="14:16" x14ac:dyDescent="0.2">
      <c r="N901">
        <f t="shared" si="26"/>
        <v>900</v>
      </c>
      <c r="O901" s="63">
        <v>1.9250755136807625</v>
      </c>
      <c r="P901" s="62">
        <v>135.46054041396064</v>
      </c>
    </row>
    <row r="902" spans="14:16" x14ac:dyDescent="0.2">
      <c r="N902">
        <f t="shared" si="26"/>
        <v>901</v>
      </c>
      <c r="O902" s="63">
        <v>2.5886802001311988</v>
      </c>
      <c r="P902" s="62">
        <v>231.09623789167802</v>
      </c>
    </row>
    <row r="903" spans="14:16" x14ac:dyDescent="0.2">
      <c r="N903">
        <f t="shared" si="26"/>
        <v>902</v>
      </c>
      <c r="O903" s="63">
        <v>1.9677915224225333</v>
      </c>
      <c r="P903" s="62">
        <v>143.05658157314735</v>
      </c>
    </row>
    <row r="904" spans="14:16" x14ac:dyDescent="0.2">
      <c r="N904">
        <f t="shared" si="26"/>
        <v>903</v>
      </c>
      <c r="O904" s="63">
        <v>1.3057816763481893</v>
      </c>
      <c r="P904" s="62">
        <v>44.955984631272031</v>
      </c>
    </row>
    <row r="905" spans="14:16" x14ac:dyDescent="0.2">
      <c r="N905">
        <f t="shared" si="26"/>
        <v>904</v>
      </c>
      <c r="O905" s="63">
        <v>1.1495922284439399</v>
      </c>
      <c r="P905" s="62">
        <v>21.886349001775585</v>
      </c>
    </row>
    <row r="906" spans="14:16" x14ac:dyDescent="0.2">
      <c r="N906">
        <f t="shared" si="26"/>
        <v>905</v>
      </c>
      <c r="O906" s="63">
        <v>1.6099097367339175</v>
      </c>
      <c r="P906" s="62">
        <v>91.653146847142807</v>
      </c>
    </row>
    <row r="907" spans="14:16" x14ac:dyDescent="0.2">
      <c r="N907">
        <f t="shared" si="26"/>
        <v>906</v>
      </c>
      <c r="O907" s="63">
        <v>1.5092314242011755</v>
      </c>
      <c r="P907" s="62">
        <v>76.775532826054871</v>
      </c>
    </row>
    <row r="908" spans="14:16" x14ac:dyDescent="0.2">
      <c r="N908">
        <f t="shared" si="26"/>
        <v>907</v>
      </c>
      <c r="O908" s="63">
        <v>2.0582772286020776</v>
      </c>
      <c r="P908" s="62">
        <v>156.80000696445327</v>
      </c>
    </row>
    <row r="909" spans="14:16" x14ac:dyDescent="0.2">
      <c r="N909">
        <f t="shared" si="26"/>
        <v>908</v>
      </c>
      <c r="O909" s="63">
        <v>1.7912609261063135</v>
      </c>
      <c r="P909" s="62">
        <v>114.79447526573313</v>
      </c>
    </row>
    <row r="910" spans="14:16" x14ac:dyDescent="0.2">
      <c r="N910">
        <f t="shared" si="26"/>
        <v>909</v>
      </c>
      <c r="O910" s="63">
        <v>1.7921568887535</v>
      </c>
      <c r="P910" s="62">
        <v>114.15044098856237</v>
      </c>
    </row>
    <row r="911" spans="14:16" x14ac:dyDescent="0.2">
      <c r="N911">
        <f t="shared" si="26"/>
        <v>910</v>
      </c>
      <c r="O911" s="63">
        <v>1.6217414270715078</v>
      </c>
      <c r="P911" s="62">
        <v>90.435901120495117</v>
      </c>
    </row>
    <row r="912" spans="14:16" x14ac:dyDescent="0.2">
      <c r="N912">
        <f t="shared" si="26"/>
        <v>911</v>
      </c>
      <c r="O912" s="63">
        <v>1.7629575666722215</v>
      </c>
      <c r="P912" s="62">
        <v>111.95097235541945</v>
      </c>
    </row>
    <row r="913" spans="14:16" x14ac:dyDescent="0.2">
      <c r="N913">
        <f t="shared" si="26"/>
        <v>912</v>
      </c>
      <c r="O913" s="63">
        <v>1.5875741758980753</v>
      </c>
      <c r="P913" s="62">
        <v>86.292720563397609</v>
      </c>
    </row>
    <row r="914" spans="14:16" x14ac:dyDescent="0.2">
      <c r="N914">
        <f t="shared" si="26"/>
        <v>913</v>
      </c>
      <c r="O914" s="63">
        <v>1.4276369932341895</v>
      </c>
      <c r="P914" s="62">
        <v>63.820464397249964</v>
      </c>
    </row>
    <row r="915" spans="14:16" x14ac:dyDescent="0.2">
      <c r="N915">
        <f t="shared" si="26"/>
        <v>914</v>
      </c>
      <c r="O915" s="63">
        <v>2.2005286619910995</v>
      </c>
      <c r="P915" s="62">
        <v>172.81160579370288</v>
      </c>
    </row>
    <row r="916" spans="14:16" x14ac:dyDescent="0.2">
      <c r="N916">
        <f t="shared" si="26"/>
        <v>915</v>
      </c>
      <c r="O916" s="63">
        <v>1.2466918670836968</v>
      </c>
      <c r="P916" s="62">
        <v>37.358055574235408</v>
      </c>
    </row>
    <row r="917" spans="14:16" x14ac:dyDescent="0.2">
      <c r="N917">
        <f t="shared" si="26"/>
        <v>916</v>
      </c>
      <c r="O917" s="63">
        <v>2.0479247245827308</v>
      </c>
      <c r="P917" s="62">
        <v>153.90236061637526</v>
      </c>
    </row>
    <row r="918" spans="14:16" x14ac:dyDescent="0.2">
      <c r="N918">
        <f t="shared" si="26"/>
        <v>917</v>
      </c>
      <c r="O918" s="63">
        <v>1.2755066021584862</v>
      </c>
      <c r="P918" s="62">
        <v>40.80572349820514</v>
      </c>
    </row>
    <row r="919" spans="14:16" x14ac:dyDescent="0.2">
      <c r="N919">
        <f t="shared" si="26"/>
        <v>918</v>
      </c>
      <c r="O919" s="63">
        <v>1.1592258374528746</v>
      </c>
      <c r="P919" s="62">
        <v>23.411210495384267</v>
      </c>
    </row>
    <row r="920" spans="14:16" x14ac:dyDescent="0.2">
      <c r="N920">
        <f t="shared" si="26"/>
        <v>919</v>
      </c>
      <c r="O920" s="63">
        <v>1.3683579400718162</v>
      </c>
      <c r="P920" s="62">
        <v>52.232716716727367</v>
      </c>
    </row>
    <row r="921" spans="14:16" x14ac:dyDescent="0.2">
      <c r="N921">
        <f t="shared" si="26"/>
        <v>920</v>
      </c>
      <c r="O921" s="63">
        <v>1.9082134067504692</v>
      </c>
      <c r="P921" s="62">
        <v>133.95646605138049</v>
      </c>
    </row>
    <row r="922" spans="14:16" x14ac:dyDescent="0.2">
      <c r="N922">
        <f t="shared" si="26"/>
        <v>921</v>
      </c>
      <c r="O922" s="63">
        <v>2.2061762302705237</v>
      </c>
      <c r="P922" s="62">
        <v>180.13517917596266</v>
      </c>
    </row>
    <row r="923" spans="14:16" x14ac:dyDescent="0.2">
      <c r="N923">
        <f t="shared" si="26"/>
        <v>922</v>
      </c>
      <c r="O923" s="63">
        <v>2.3355762016831392</v>
      </c>
      <c r="P923" s="62">
        <v>195.22248792571796</v>
      </c>
    </row>
    <row r="924" spans="14:16" x14ac:dyDescent="0.2">
      <c r="N924">
        <f t="shared" si="26"/>
        <v>923</v>
      </c>
      <c r="O924" s="63">
        <v>1.8265957228416847</v>
      </c>
      <c r="P924" s="62">
        <v>122.05716557767931</v>
      </c>
    </row>
    <row r="925" spans="14:16" x14ac:dyDescent="0.2">
      <c r="N925">
        <f t="shared" si="26"/>
        <v>924</v>
      </c>
      <c r="O925" s="63">
        <v>1.863609375711994</v>
      </c>
      <c r="P925" s="62">
        <v>125.44068567576727</v>
      </c>
    </row>
    <row r="926" spans="14:16" x14ac:dyDescent="0.2">
      <c r="N926">
        <f t="shared" si="26"/>
        <v>925</v>
      </c>
      <c r="O926" s="63">
        <v>1.5082275914052294</v>
      </c>
      <c r="P926" s="62">
        <v>75.565836980524494</v>
      </c>
    </row>
    <row r="927" spans="14:16" x14ac:dyDescent="0.2">
      <c r="N927">
        <f t="shared" si="26"/>
        <v>926</v>
      </c>
      <c r="O927" s="63">
        <v>2.018901917751398</v>
      </c>
      <c r="P927" s="62">
        <v>148.70155143782515</v>
      </c>
    </row>
    <row r="928" spans="14:16" x14ac:dyDescent="0.2">
      <c r="N928">
        <f t="shared" si="26"/>
        <v>927</v>
      </c>
      <c r="O928" s="63">
        <v>1.853464381858138</v>
      </c>
      <c r="P928" s="62">
        <v>125.38765937481759</v>
      </c>
    </row>
    <row r="929" spans="14:16" x14ac:dyDescent="0.2">
      <c r="N929">
        <f t="shared" si="26"/>
        <v>928</v>
      </c>
      <c r="O929" s="63">
        <v>2.9156286591724223</v>
      </c>
      <c r="P929" s="62">
        <v>278.67718154969663</v>
      </c>
    </row>
    <row r="930" spans="14:16" x14ac:dyDescent="0.2">
      <c r="N930">
        <f t="shared" si="26"/>
        <v>929</v>
      </c>
      <c r="O930" s="63">
        <v>1.4978538788458864</v>
      </c>
      <c r="P930" s="62">
        <v>74.072252669860546</v>
      </c>
    </row>
    <row r="931" spans="14:16" x14ac:dyDescent="0.2">
      <c r="N931">
        <f t="shared" si="26"/>
        <v>930</v>
      </c>
      <c r="O931" s="63">
        <v>1.869740461689229</v>
      </c>
      <c r="P931" s="62">
        <v>128.86772047591265</v>
      </c>
    </row>
    <row r="932" spans="14:16" x14ac:dyDescent="0.2">
      <c r="N932">
        <f t="shared" si="26"/>
        <v>931</v>
      </c>
      <c r="O932" s="63">
        <v>1.5867339891927157</v>
      </c>
      <c r="P932" s="62">
        <v>85.567776139423245</v>
      </c>
    </row>
    <row r="933" spans="14:16" x14ac:dyDescent="0.2">
      <c r="N933">
        <f t="shared" si="26"/>
        <v>932</v>
      </c>
      <c r="O933" s="63">
        <v>1.9165622483073046</v>
      </c>
      <c r="P933" s="62">
        <v>135.28849124155161</v>
      </c>
    </row>
    <row r="934" spans="14:16" x14ac:dyDescent="0.2">
      <c r="N934">
        <f t="shared" si="26"/>
        <v>933</v>
      </c>
      <c r="O934" s="63">
        <v>1.6634089879164733</v>
      </c>
      <c r="P934" s="62">
        <v>99.388479059111887</v>
      </c>
    </row>
    <row r="935" spans="14:16" x14ac:dyDescent="0.2">
      <c r="N935">
        <f t="shared" si="26"/>
        <v>934</v>
      </c>
      <c r="O935" s="63">
        <v>2.1721912721318142</v>
      </c>
      <c r="P935" s="62">
        <v>172.55921400171769</v>
      </c>
    </row>
    <row r="936" spans="14:16" x14ac:dyDescent="0.2">
      <c r="N936">
        <f t="shared" si="26"/>
        <v>935</v>
      </c>
      <c r="O936" s="63">
        <v>1.6637026819638763</v>
      </c>
      <c r="P936" s="62">
        <v>95.723859469430579</v>
      </c>
    </row>
    <row r="937" spans="14:16" x14ac:dyDescent="0.2">
      <c r="N937">
        <f t="shared" si="26"/>
        <v>936</v>
      </c>
      <c r="O937" s="63">
        <v>1.6926848202366367</v>
      </c>
      <c r="P937" s="62">
        <v>101.56290772978303</v>
      </c>
    </row>
    <row r="938" spans="14:16" x14ac:dyDescent="0.2">
      <c r="N938">
        <f t="shared" si="26"/>
        <v>937</v>
      </c>
      <c r="O938" s="63">
        <v>1.9816567176465019</v>
      </c>
      <c r="P938" s="62">
        <v>143.01699523618413</v>
      </c>
    </row>
    <row r="939" spans="14:16" x14ac:dyDescent="0.2">
      <c r="N939">
        <f t="shared" si="26"/>
        <v>938</v>
      </c>
      <c r="O939" s="63">
        <v>1.9572917201482241</v>
      </c>
      <c r="P939" s="62">
        <v>141.79119530545702</v>
      </c>
    </row>
    <row r="940" spans="14:16" x14ac:dyDescent="0.2">
      <c r="N940">
        <f t="shared" si="26"/>
        <v>939</v>
      </c>
      <c r="O940" s="63">
        <v>2.6049734652496044</v>
      </c>
      <c r="P940" s="62">
        <v>235.35138736756846</v>
      </c>
    </row>
    <row r="941" spans="14:16" x14ac:dyDescent="0.2">
      <c r="N941">
        <f t="shared" si="26"/>
        <v>940</v>
      </c>
      <c r="O941" s="63">
        <v>1.8763020972417115</v>
      </c>
      <c r="P941" s="62">
        <v>125.87349861264892</v>
      </c>
    </row>
    <row r="942" spans="14:16" x14ac:dyDescent="0.2">
      <c r="N942">
        <f t="shared" si="26"/>
        <v>941</v>
      </c>
      <c r="O942" s="63">
        <v>1.7535292949720653</v>
      </c>
      <c r="P942" s="62">
        <v>111.78487557810706</v>
      </c>
    </row>
    <row r="943" spans="14:16" x14ac:dyDescent="0.2">
      <c r="N943">
        <f t="shared" si="26"/>
        <v>942</v>
      </c>
      <c r="O943" s="63">
        <v>1.5596469049518373</v>
      </c>
      <c r="P943" s="62">
        <v>80.874162705201798</v>
      </c>
    </row>
    <row r="944" spans="14:16" x14ac:dyDescent="0.2">
      <c r="N944">
        <f t="shared" si="26"/>
        <v>943</v>
      </c>
      <c r="O944" s="63">
        <v>1.1703528108724706</v>
      </c>
      <c r="P944" s="62">
        <v>25.123339571270719</v>
      </c>
    </row>
    <row r="945" spans="14:16" x14ac:dyDescent="0.2">
      <c r="N945">
        <f t="shared" si="26"/>
        <v>944</v>
      </c>
      <c r="O945" s="63">
        <v>1.4433573949458378</v>
      </c>
      <c r="P945" s="62">
        <v>65.627845600918903</v>
      </c>
    </row>
    <row r="946" spans="14:16" x14ac:dyDescent="0.2">
      <c r="N946">
        <f t="shared" si="26"/>
        <v>945</v>
      </c>
      <c r="O946" s="63">
        <v>1.4968355327835672</v>
      </c>
      <c r="P946" s="62">
        <v>74.008021617742031</v>
      </c>
    </row>
    <row r="947" spans="14:16" x14ac:dyDescent="0.2">
      <c r="N947">
        <f t="shared" si="26"/>
        <v>946</v>
      </c>
      <c r="O947" s="63">
        <v>2.0502261734088125</v>
      </c>
      <c r="P947" s="62">
        <v>155.03518154613883</v>
      </c>
    </row>
    <row r="948" spans="14:16" x14ac:dyDescent="0.2">
      <c r="N948">
        <f t="shared" si="26"/>
        <v>947</v>
      </c>
      <c r="O948" s="63">
        <v>1.5022181350778627</v>
      </c>
      <c r="P948" s="62">
        <v>75.014402734334766</v>
      </c>
    </row>
    <row r="949" spans="14:16" x14ac:dyDescent="0.2">
      <c r="N949">
        <f t="shared" si="26"/>
        <v>948</v>
      </c>
      <c r="O949" s="63">
        <v>1.3243120664922969</v>
      </c>
      <c r="P949" s="62">
        <v>47.392112306523615</v>
      </c>
    </row>
    <row r="950" spans="14:16" x14ac:dyDescent="0.2">
      <c r="N950">
        <f t="shared" si="26"/>
        <v>949</v>
      </c>
      <c r="O950" s="63">
        <v>2.1489243133392009</v>
      </c>
      <c r="P950" s="62">
        <v>170.02451375238158</v>
      </c>
    </row>
    <row r="951" spans="14:16" x14ac:dyDescent="0.2">
      <c r="N951">
        <f t="shared" si="26"/>
        <v>950</v>
      </c>
      <c r="O951" s="63">
        <v>1.9953014840422219</v>
      </c>
      <c r="P951" s="62">
        <v>144.83898098112132</v>
      </c>
    </row>
    <row r="952" spans="14:16" x14ac:dyDescent="0.2">
      <c r="N952">
        <f t="shared" si="26"/>
        <v>951</v>
      </c>
      <c r="O952" s="63">
        <v>1.836202983996466</v>
      </c>
      <c r="P952" s="62">
        <v>124.24803611566747</v>
      </c>
    </row>
    <row r="953" spans="14:16" x14ac:dyDescent="0.2">
      <c r="N953">
        <f t="shared" si="26"/>
        <v>952</v>
      </c>
      <c r="O953" s="63">
        <v>1.5854061920248474</v>
      </c>
      <c r="P953" s="62">
        <v>85.896840895127042</v>
      </c>
    </row>
    <row r="954" spans="14:16" x14ac:dyDescent="0.2">
      <c r="N954">
        <f t="shared" si="26"/>
        <v>953</v>
      </c>
      <c r="O954" s="63">
        <v>1.5647100092150745</v>
      </c>
      <c r="P954" s="62">
        <v>82.426205957358178</v>
      </c>
    </row>
    <row r="955" spans="14:16" x14ac:dyDescent="0.2">
      <c r="N955">
        <f t="shared" si="26"/>
        <v>954</v>
      </c>
      <c r="O955" s="63">
        <v>1.3985924220352473</v>
      </c>
      <c r="P955" s="62">
        <v>59.136315007279734</v>
      </c>
    </row>
    <row r="956" spans="14:16" x14ac:dyDescent="0.2">
      <c r="N956">
        <f t="shared" si="26"/>
        <v>955</v>
      </c>
      <c r="O956" s="63">
        <v>2.1142864793962692</v>
      </c>
      <c r="P956" s="62">
        <v>161.04952163606831</v>
      </c>
    </row>
    <row r="957" spans="14:16" x14ac:dyDescent="0.2">
      <c r="N957">
        <f t="shared" si="26"/>
        <v>956</v>
      </c>
      <c r="O957" s="63">
        <v>1.4358102182059551</v>
      </c>
      <c r="P957" s="62">
        <v>62.683048215255837</v>
      </c>
    </row>
    <row r="958" spans="14:16" x14ac:dyDescent="0.2">
      <c r="N958">
        <f t="shared" si="26"/>
        <v>957</v>
      </c>
      <c r="O958" s="63">
        <v>2.3341811894706153</v>
      </c>
      <c r="P958" s="62">
        <v>195.54348656242604</v>
      </c>
    </row>
    <row r="959" spans="14:16" x14ac:dyDescent="0.2">
      <c r="N959">
        <f t="shared" si="26"/>
        <v>958</v>
      </c>
      <c r="O959" s="63">
        <v>1.608726730912766</v>
      </c>
      <c r="P959" s="62">
        <v>89.130371050952959</v>
      </c>
    </row>
    <row r="960" spans="14:16" x14ac:dyDescent="0.2">
      <c r="N960">
        <f t="shared" si="26"/>
        <v>959</v>
      </c>
      <c r="O960" s="63">
        <v>1.5545160656974693</v>
      </c>
      <c r="P960" s="62">
        <v>81.559227471234436</v>
      </c>
    </row>
    <row r="961" spans="14:16" x14ac:dyDescent="0.2">
      <c r="N961">
        <f t="shared" si="26"/>
        <v>960</v>
      </c>
      <c r="O961" s="63">
        <v>1.9355262463862368</v>
      </c>
      <c r="P961" s="62">
        <v>137.04705053222531</v>
      </c>
    </row>
    <row r="962" spans="14:16" x14ac:dyDescent="0.2">
      <c r="N962">
        <f t="shared" ref="N962:N1001" si="27">ROW(N962)-1</f>
        <v>961</v>
      </c>
      <c r="O962" s="63">
        <v>1.5043765191763696</v>
      </c>
      <c r="P962" s="62">
        <v>75.028547548824918</v>
      </c>
    </row>
    <row r="963" spans="14:16" x14ac:dyDescent="0.2">
      <c r="N963">
        <f t="shared" si="27"/>
        <v>962</v>
      </c>
      <c r="O963" s="63">
        <v>2.2434118863804864</v>
      </c>
      <c r="P963" s="62">
        <v>184.79175303688615</v>
      </c>
    </row>
    <row r="964" spans="14:16" x14ac:dyDescent="0.2">
      <c r="N964">
        <f t="shared" si="27"/>
        <v>963</v>
      </c>
      <c r="O964" s="63">
        <v>1.3004206175246213</v>
      </c>
      <c r="P964" s="62">
        <v>43.812369337349935</v>
      </c>
    </row>
    <row r="965" spans="14:16" x14ac:dyDescent="0.2">
      <c r="N965">
        <f t="shared" si="27"/>
        <v>964</v>
      </c>
      <c r="O965" s="63">
        <v>1.2889652111449199</v>
      </c>
      <c r="P965" s="62">
        <v>42.966475533564761</v>
      </c>
    </row>
    <row r="966" spans="14:16" x14ac:dyDescent="0.2">
      <c r="N966">
        <f t="shared" si="27"/>
        <v>965</v>
      </c>
      <c r="O966" s="63">
        <v>1.937298312127486</v>
      </c>
      <c r="P966" s="62">
        <v>139.75743871931164</v>
      </c>
    </row>
    <row r="967" spans="14:16" x14ac:dyDescent="0.2">
      <c r="N967">
        <f t="shared" si="27"/>
        <v>966</v>
      </c>
      <c r="O967" s="63">
        <v>2.4595630448561159</v>
      </c>
      <c r="P967" s="62">
        <v>214.24982756287349</v>
      </c>
    </row>
    <row r="968" spans="14:16" x14ac:dyDescent="0.2">
      <c r="N968">
        <f t="shared" si="27"/>
        <v>967</v>
      </c>
      <c r="O968" s="63">
        <v>1.7681545846405198</v>
      </c>
      <c r="P968" s="62">
        <v>112.60689581004138</v>
      </c>
    </row>
    <row r="969" spans="14:16" x14ac:dyDescent="0.2">
      <c r="N969">
        <f t="shared" si="27"/>
        <v>968</v>
      </c>
      <c r="O969" s="63">
        <v>1.2944491854101912</v>
      </c>
      <c r="P969" s="62">
        <v>43.81329628088227</v>
      </c>
    </row>
    <row r="970" spans="14:16" x14ac:dyDescent="0.2">
      <c r="N970">
        <f t="shared" si="27"/>
        <v>969</v>
      </c>
      <c r="O970" s="63">
        <v>1.6912807516560733</v>
      </c>
      <c r="P970" s="62">
        <v>101.33535026396524</v>
      </c>
    </row>
    <row r="971" spans="14:16" x14ac:dyDescent="0.2">
      <c r="N971">
        <f t="shared" si="27"/>
        <v>970</v>
      </c>
      <c r="O971" s="63">
        <v>2.4693471111931062</v>
      </c>
      <c r="P971" s="62">
        <v>217.16757999380124</v>
      </c>
    </row>
    <row r="972" spans="14:16" x14ac:dyDescent="0.2">
      <c r="N972">
        <f t="shared" si="27"/>
        <v>971</v>
      </c>
      <c r="O972" s="63">
        <v>1.6960683153167888</v>
      </c>
      <c r="P972" s="62">
        <v>100.40582291719946</v>
      </c>
    </row>
    <row r="973" spans="14:16" x14ac:dyDescent="0.2">
      <c r="N973">
        <f t="shared" si="27"/>
        <v>972</v>
      </c>
      <c r="O973" s="63">
        <v>2.2211644723293946</v>
      </c>
      <c r="P973" s="62">
        <v>177.26284144723269</v>
      </c>
    </row>
    <row r="974" spans="14:16" x14ac:dyDescent="0.2">
      <c r="N974">
        <f t="shared" si="27"/>
        <v>973</v>
      </c>
      <c r="O974" s="63">
        <v>1.8630173588298413</v>
      </c>
      <c r="P974" s="62">
        <v>127.09656369019734</v>
      </c>
    </row>
    <row r="975" spans="14:16" x14ac:dyDescent="0.2">
      <c r="N975">
        <f t="shared" si="27"/>
        <v>974</v>
      </c>
      <c r="O975" s="63">
        <v>1.2301299029218546</v>
      </c>
      <c r="P975" s="62">
        <v>33.903104659008051</v>
      </c>
    </row>
    <row r="976" spans="14:16" x14ac:dyDescent="0.2">
      <c r="N976">
        <f t="shared" si="27"/>
        <v>975</v>
      </c>
      <c r="O976" s="63">
        <v>1.4391203208591503</v>
      </c>
      <c r="P976" s="62">
        <v>63.793737279108512</v>
      </c>
    </row>
    <row r="977" spans="14:16" x14ac:dyDescent="0.2">
      <c r="N977">
        <f t="shared" si="27"/>
        <v>976</v>
      </c>
      <c r="O977" s="63">
        <v>1.3811804956600688</v>
      </c>
      <c r="P977" s="62">
        <v>54.492124810359797</v>
      </c>
    </row>
    <row r="978" spans="14:16" x14ac:dyDescent="0.2">
      <c r="N978">
        <f t="shared" si="27"/>
        <v>977</v>
      </c>
      <c r="O978" s="63">
        <v>1.6357481487604171</v>
      </c>
      <c r="P978" s="62">
        <v>93.034492276797209</v>
      </c>
    </row>
    <row r="979" spans="14:16" x14ac:dyDescent="0.2">
      <c r="N979">
        <f t="shared" si="27"/>
        <v>978</v>
      </c>
      <c r="O979" s="63">
        <v>1.4454938828101653</v>
      </c>
      <c r="P979" s="62">
        <v>63.912312440571981</v>
      </c>
    </row>
    <row r="980" spans="14:16" x14ac:dyDescent="0.2">
      <c r="N980">
        <f t="shared" si="27"/>
        <v>979</v>
      </c>
      <c r="O980" s="63">
        <v>2.0347557883240674</v>
      </c>
      <c r="P980" s="62">
        <v>151.16347039860887</v>
      </c>
    </row>
    <row r="981" spans="14:16" x14ac:dyDescent="0.2">
      <c r="N981">
        <f t="shared" si="27"/>
        <v>980</v>
      </c>
      <c r="O981" s="63">
        <v>1.7903057295466616</v>
      </c>
      <c r="P981" s="62">
        <v>117.65777819451299</v>
      </c>
    </row>
    <row r="982" spans="14:16" x14ac:dyDescent="0.2">
      <c r="N982">
        <f t="shared" si="27"/>
        <v>981</v>
      </c>
      <c r="O982" s="63">
        <v>1.7597243544848855</v>
      </c>
      <c r="P982" s="62">
        <v>114.93306380006916</v>
      </c>
    </row>
    <row r="983" spans="14:16" x14ac:dyDescent="0.2">
      <c r="N983">
        <f t="shared" si="27"/>
        <v>982</v>
      </c>
      <c r="O983" s="63">
        <v>1.771984449205775</v>
      </c>
      <c r="P983" s="62">
        <v>114.47335875151717</v>
      </c>
    </row>
    <row r="984" spans="14:16" x14ac:dyDescent="0.2">
      <c r="N984">
        <f t="shared" si="27"/>
        <v>983</v>
      </c>
      <c r="O984" s="63">
        <v>1.3989092522322815</v>
      </c>
      <c r="P984" s="62">
        <v>59.70116839752805</v>
      </c>
    </row>
    <row r="985" spans="14:16" x14ac:dyDescent="0.2">
      <c r="N985">
        <f t="shared" si="27"/>
        <v>984</v>
      </c>
      <c r="O985" s="63">
        <v>1.2824032837557791</v>
      </c>
      <c r="P985" s="62">
        <v>41.791319292648524</v>
      </c>
    </row>
    <row r="986" spans="14:16" x14ac:dyDescent="0.2">
      <c r="N986">
        <f t="shared" si="27"/>
        <v>985</v>
      </c>
      <c r="O986" s="63">
        <v>1.5519013820762226</v>
      </c>
      <c r="P986" s="62">
        <v>81.296035924918385</v>
      </c>
    </row>
    <row r="987" spans="14:16" x14ac:dyDescent="0.2">
      <c r="N987">
        <f t="shared" si="27"/>
        <v>986</v>
      </c>
      <c r="O987" s="63">
        <v>2.4463934736950472</v>
      </c>
      <c r="P987" s="62">
        <v>215.49039157583255</v>
      </c>
    </row>
    <row r="988" spans="14:16" x14ac:dyDescent="0.2">
      <c r="N988">
        <f t="shared" si="27"/>
        <v>987</v>
      </c>
      <c r="O988" s="63">
        <v>1.4945599550395299</v>
      </c>
      <c r="P988" s="62">
        <v>73.401072609699895</v>
      </c>
    </row>
    <row r="989" spans="14:16" x14ac:dyDescent="0.2">
      <c r="N989">
        <f t="shared" si="27"/>
        <v>988</v>
      </c>
      <c r="O989" s="63">
        <v>1.3578515619258207</v>
      </c>
      <c r="P989" s="62">
        <v>53.050151909951438</v>
      </c>
    </row>
    <row r="990" spans="14:16" x14ac:dyDescent="0.2">
      <c r="N990">
        <f t="shared" si="27"/>
        <v>989</v>
      </c>
      <c r="O990" s="63">
        <v>1.5098109868737226</v>
      </c>
      <c r="P990" s="62">
        <v>75.171984643543993</v>
      </c>
    </row>
    <row r="991" spans="14:16" x14ac:dyDescent="0.2">
      <c r="N991">
        <f t="shared" si="27"/>
        <v>990</v>
      </c>
      <c r="O991" s="63">
        <v>2.3828809331210632</v>
      </c>
      <c r="P991" s="62">
        <v>203.4965349686592</v>
      </c>
    </row>
    <row r="992" spans="14:16" x14ac:dyDescent="0.2">
      <c r="N992">
        <f t="shared" si="27"/>
        <v>991</v>
      </c>
      <c r="O992" s="63">
        <v>2.0092077522327076</v>
      </c>
      <c r="P992" s="62">
        <v>147.10304366933121</v>
      </c>
    </row>
    <row r="993" spans="14:16" x14ac:dyDescent="0.2">
      <c r="N993">
        <f t="shared" si="27"/>
        <v>992</v>
      </c>
      <c r="O993" s="63">
        <v>1.675351452254999</v>
      </c>
      <c r="P993" s="62">
        <v>96.880941270442548</v>
      </c>
    </row>
    <row r="994" spans="14:16" x14ac:dyDescent="0.2">
      <c r="N994">
        <f t="shared" si="27"/>
        <v>993</v>
      </c>
      <c r="O994" s="63">
        <v>1.4790864727712723</v>
      </c>
      <c r="P994" s="62">
        <v>71.222679425807797</v>
      </c>
    </row>
    <row r="995" spans="14:16" x14ac:dyDescent="0.2">
      <c r="N995">
        <f t="shared" si="27"/>
        <v>994</v>
      </c>
      <c r="O995" s="63">
        <v>1.5597389732003586</v>
      </c>
      <c r="P995" s="62">
        <v>81.929902568874525</v>
      </c>
    </row>
    <row r="996" spans="14:16" x14ac:dyDescent="0.2">
      <c r="N996">
        <f t="shared" si="27"/>
        <v>995</v>
      </c>
      <c r="O996" s="63">
        <v>1.6536807276689807</v>
      </c>
      <c r="P996" s="62">
        <v>97.368264113394531</v>
      </c>
    </row>
    <row r="997" spans="14:16" x14ac:dyDescent="0.2">
      <c r="N997">
        <f t="shared" si="27"/>
        <v>996</v>
      </c>
      <c r="O997" s="63">
        <v>1.4884402131185255</v>
      </c>
      <c r="P997" s="62">
        <v>70.325069466641452</v>
      </c>
    </row>
    <row r="998" spans="14:16" x14ac:dyDescent="0.2">
      <c r="N998">
        <f t="shared" si="27"/>
        <v>997</v>
      </c>
      <c r="O998" s="63">
        <v>2.0650259422495894</v>
      </c>
      <c r="P998" s="62">
        <v>152.14163403336258</v>
      </c>
    </row>
    <row r="999" spans="14:16" x14ac:dyDescent="0.2">
      <c r="N999">
        <f t="shared" si="27"/>
        <v>998</v>
      </c>
      <c r="O999" s="63">
        <v>1.8660685913550263</v>
      </c>
      <c r="P999" s="62">
        <v>128.49718272034542</v>
      </c>
    </row>
    <row r="1000" spans="14:16" x14ac:dyDescent="0.2">
      <c r="N1000">
        <f t="shared" si="27"/>
        <v>999</v>
      </c>
      <c r="O1000" s="63">
        <v>1.9432829781244851</v>
      </c>
      <c r="P1000" s="62">
        <v>135.36815660458646</v>
      </c>
    </row>
    <row r="1001" spans="14:16" x14ac:dyDescent="0.2">
      <c r="N1001">
        <f t="shared" si="27"/>
        <v>1000</v>
      </c>
      <c r="O1001" s="63">
        <v>1.8887011514047338</v>
      </c>
      <c r="P1001" s="62">
        <v>132.19361639254745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95pc FS Monthly VaR CVaR per FR</vt:lpstr>
      <vt:lpstr>PPF 2011 &amp; 2025 Allocations</vt:lpstr>
      <vt:lpstr>Asset Class Returns &amp; Weights</vt:lpstr>
      <vt:lpstr>(Bootstrap Simulation)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David Curington</cp:lastModifiedBy>
  <cp:revision/>
  <dcterms:created xsi:type="dcterms:W3CDTF">2026-04-18T07:49:56Z</dcterms:created>
  <dcterms:modified xsi:type="dcterms:W3CDTF">2026-04-27T14:42:11Z</dcterms:modified>
  <cp:category/>
  <cp:contentStatus/>
</cp:coreProperties>
</file>